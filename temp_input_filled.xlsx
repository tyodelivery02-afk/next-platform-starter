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1105MAS " sheetId="1" state="visible" r:id="rId1"/>
    <sheet name="1105MAS  (１４時まで)" sheetId="2" state="visible" r:id="rId2"/>
    <sheet name="1105ESP" sheetId="3" state="visible" r:id="rId3"/>
  </sheets>
  <definedNames>
    <definedName name="_xlnm._FilterDatabase" localSheetId="0" hidden="1">'1105MAS '!$A$4:$W$123</definedName>
    <definedName name="_xlnm.Print_Area" localSheetId="0">'1105MAS '!$A$1:$W$134</definedName>
    <definedName name="_xlnm._FilterDatabase" localSheetId="1" hidden="1">'1105MAS  (１４時まで)'!$A$4:$W$97</definedName>
    <definedName name="_xlnm.Print_Area" localSheetId="1">'1105MAS  (１４時まで)'!$A$1:$W$108</definedName>
    <definedName name="_xlnm._FilterDatabase" localSheetId="2" hidden="1">'1105ESP'!$A$4:$R$4</definedName>
    <definedName name="_xlnm.Print_Area" localSheetId="2">'1105ESP'!$A$1:$R$10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409]d\-mmm;@"/>
    <numFmt numFmtId="165" formatCode="[$-F800]dddd\,\ mmmm\ dd\,\ yyyy"/>
    <numFmt numFmtId="166" formatCode="aaaa"/>
    <numFmt numFmtId="167" formatCode="0_);[Red]\(0\)"/>
  </numFmts>
  <fonts count="37">
    <font>
      <name val="Yu Gothic"/>
      <charset val="128"/>
      <family val="2"/>
      <color theme="1"/>
      <sz val="11"/>
      <scheme val="minor"/>
    </font>
    <font>
      <name val="Yu Gothic"/>
      <charset val="128"/>
      <family val="2"/>
      <color theme="1"/>
      <sz val="11"/>
      <scheme val="minor"/>
    </font>
    <font>
      <name val="Yu Gothic"/>
      <family val="2"/>
      <color theme="1"/>
      <sz val="11"/>
      <scheme val="minor"/>
    </font>
    <font>
      <name val="Arial"/>
      <family val="2"/>
      <b val="1"/>
      <color theme="1"/>
      <sz val="48"/>
    </font>
    <font>
      <name val="游ゴシック"/>
      <charset val="128"/>
      <family val="3"/>
      <b val="1"/>
      <color theme="1"/>
      <sz val="48"/>
    </font>
    <font>
      <name val="Yu Gothic"/>
      <charset val="128"/>
      <family val="2"/>
      <sz val="6"/>
      <scheme val="minor"/>
    </font>
    <font>
      <name val="Arial"/>
      <family val="2"/>
      <b val="1"/>
      <color theme="1"/>
      <sz val="16"/>
    </font>
    <font>
      <name val="Arial"/>
      <family val="2"/>
      <b val="1"/>
      <color rgb="FFFF0000"/>
      <sz val="16"/>
    </font>
    <font>
      <name val="Arial"/>
      <family val="2"/>
      <b val="1"/>
      <color theme="1"/>
      <sz val="16"/>
      <u val="single"/>
    </font>
    <font>
      <name val="游ゴシック"/>
      <charset val="128"/>
      <family val="3"/>
      <b val="1"/>
      <color theme="1"/>
      <sz val="16"/>
    </font>
    <font>
      <name val="Yu Gothic"/>
      <charset val="128"/>
      <family val="3"/>
      <sz val="6"/>
      <scheme val="minor"/>
    </font>
    <font>
      <name val="游ゴシック"/>
      <charset val="128"/>
      <family val="3"/>
      <b val="1"/>
      <color rgb="FFFF0000"/>
      <sz val="16"/>
    </font>
    <font>
      <name val="あ"/>
      <charset val="128"/>
      <family val="3"/>
      <b val="1"/>
      <color theme="1"/>
      <sz val="16"/>
    </font>
    <font>
      <name val="Arial"/>
      <family val="2"/>
      <b val="1"/>
      <color rgb="FF000000"/>
      <sz val="16"/>
    </font>
    <font>
      <name val="ＭＳ Ｐゴシック"/>
      <charset val="128"/>
      <family val="2"/>
      <b val="1"/>
      <color rgb="FF000000"/>
      <sz val="16"/>
    </font>
    <font>
      <name val="ＭＳ Ｐゴシック"/>
      <charset val="128"/>
      <family val="2"/>
      <b val="1"/>
      <color rgb="FFFF0000"/>
      <sz val="16"/>
    </font>
    <font>
      <name val="Arial"/>
      <charset val="128"/>
      <family val="3"/>
      <b val="1"/>
      <color rgb="FF000000"/>
      <sz val="16"/>
    </font>
    <font>
      <name val="ＭＳ ゴシック"/>
      <charset val="128"/>
      <family val="3"/>
      <b val="1"/>
      <color rgb="FF000000"/>
      <sz val="16"/>
    </font>
    <font>
      <name val="Segoe UI Symbol"/>
      <family val="2"/>
      <b val="1"/>
      <color theme="1"/>
      <sz val="16"/>
    </font>
    <font>
      <name val="Microsoft YaHei"/>
      <charset val="134"/>
      <family val="2"/>
      <b val="1"/>
      <color rgb="FF000000"/>
      <sz val="16"/>
    </font>
    <font>
      <name val="ＭＳ Ｐゴシック"/>
      <charset val="128"/>
      <family val="3"/>
      <b val="1"/>
      <color rgb="FF000000"/>
      <sz val="16"/>
    </font>
    <font>
      <name val="ＭＳ Ｐゴシック"/>
      <charset val="128"/>
      <family val="3"/>
      <b val="1"/>
      <color rgb="FFFF0000"/>
      <sz val="16"/>
    </font>
    <font>
      <name val="Arial"/>
      <family val="2"/>
      <b val="1"/>
      <color theme="1"/>
      <sz val="48"/>
      <u val="single"/>
    </font>
    <font>
      <name val="Yu Gothic"/>
      <charset val="128"/>
      <family val="3"/>
      <b val="1"/>
      <color theme="1"/>
      <sz val="48"/>
      <u val="single"/>
    </font>
    <font>
      <name val="Yu Gothic"/>
      <charset val="128"/>
      <family val="3"/>
      <b val="1"/>
      <color theme="1"/>
      <sz val="16"/>
    </font>
    <font>
      <name val="ＭＳ Ｐゴシック"/>
      <charset val="128"/>
      <family val="3"/>
      <b val="1"/>
      <color theme="1"/>
      <sz val="16"/>
    </font>
    <font>
      <name val="Yu Gothic"/>
      <charset val="128"/>
      <family val="2"/>
      <b val="1"/>
      <color theme="1"/>
      <sz val="16"/>
    </font>
    <font>
      <name val="ＭＳ Ｐゴシック"/>
      <charset val="128"/>
      <family val="2"/>
      <b val="1"/>
      <color theme="1"/>
      <sz val="16"/>
    </font>
    <font>
      <name val="ＭＳ Ｐゴシック"/>
      <charset val="128"/>
      <family val="2"/>
      <b val="1"/>
      <color theme="1"/>
      <sz val="22"/>
    </font>
    <font>
      <name val="Arial"/>
      <family val="2"/>
      <b val="1"/>
      <color theme="1"/>
      <sz val="22"/>
    </font>
    <font>
      <name val="ＭＳ Ｐゴシック"/>
      <charset val="128"/>
      <family val="2"/>
      <b val="1"/>
      <color rgb="FF000000"/>
      <sz val="22"/>
    </font>
    <font>
      <name val="Arial"/>
      <family val="2"/>
      <b val="1"/>
      <color rgb="FF000000"/>
      <sz val="22"/>
    </font>
    <font>
      <name val="Segoe UI Symbol"/>
      <family val="2"/>
      <b val="1"/>
      <color theme="1"/>
      <sz val="22"/>
    </font>
    <font>
      <name val="Arial"/>
      <family val="2"/>
      <b val="1"/>
      <color rgb="FFFF0000"/>
      <sz val="22"/>
      <u val="single"/>
    </font>
    <font>
      <name val="Microsoft YaHei"/>
      <charset val="134"/>
      <family val="2"/>
      <b val="1"/>
      <color rgb="FF000000"/>
      <sz val="22"/>
    </font>
    <font>
      <name val="Microsoft YaHei"/>
      <charset val="134"/>
      <family val="2"/>
      <b val="1"/>
      <color rgb="FFFF0000"/>
      <sz val="22"/>
      <u val="single"/>
    </font>
    <font>
      <name val="Arial"/>
      <b val="1"/>
      <sz val="16"/>
    </font>
  </fonts>
  <fills count="11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F00"/>
        <bgColor rgb="00FFFF00"/>
      </patternFill>
    </fill>
    <fill>
      <patternFill patternType="solid">
        <fgColor rgb="00FFA500"/>
        <bgColor rgb="00FFA500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1"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38" fontId="1" fillId="0" borderId="0" applyAlignment="1">
      <alignment vertical="center"/>
    </xf>
    <xf numFmtId="38" fontId="2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</cellStyleXfs>
  <cellXfs count="224">
    <xf numFmtId="0" fontId="0" fillId="0" borderId="0" applyAlignment="1" pivotButton="0" quotePrefix="0" xfId="0">
      <alignment vertical="center"/>
    </xf>
    <xf numFmtId="0" fontId="6" fillId="0" borderId="0" applyAlignment="1" pivotButton="0" quotePrefix="0" xfId="1">
      <alignment vertical="center"/>
    </xf>
    <xf numFmtId="0" fontId="6" fillId="0" borderId="0" applyAlignment="1" pivotButton="0" quotePrefix="0" xfId="2">
      <alignment vertical="center"/>
    </xf>
    <xf numFmtId="0" fontId="7" fillId="0" borderId="0" applyAlignment="1" pivotButton="0" quotePrefix="0" xfId="2">
      <alignment vertical="center"/>
    </xf>
    <xf numFmtId="49" fontId="6" fillId="0" borderId="0" applyAlignment="1" pivotButton="0" quotePrefix="0" xfId="2">
      <alignment vertical="center"/>
    </xf>
    <xf numFmtId="164" fontId="6" fillId="0" borderId="0" applyAlignment="1" pivotButton="0" quotePrefix="0" xfId="2">
      <alignment vertical="center"/>
    </xf>
    <xf numFmtId="165" fontId="6" fillId="0" borderId="0" applyAlignment="1" pivotButton="0" quotePrefix="0" xfId="3">
      <alignment horizontal="center" vertical="center"/>
    </xf>
    <xf numFmtId="166" fontId="7" fillId="0" borderId="0" applyAlignment="1" pivotButton="0" quotePrefix="0" xfId="3">
      <alignment horizontal="center" vertical="center"/>
    </xf>
    <xf numFmtId="164" fontId="6" fillId="0" borderId="0" applyAlignment="1" pivotButton="0" quotePrefix="0" xfId="3">
      <alignment horizontal="center" vertical="center"/>
    </xf>
    <xf numFmtId="167" fontId="8" fillId="0" borderId="1" applyAlignment="1" pivotButton="0" quotePrefix="0" xfId="3">
      <alignment horizontal="center" vertical="center"/>
    </xf>
    <xf numFmtId="49" fontId="6" fillId="0" borderId="1" applyAlignment="1" pivotButton="0" quotePrefix="0" xfId="3">
      <alignment horizontal="center" vertical="center"/>
    </xf>
    <xf numFmtId="38" fontId="6" fillId="0" borderId="1" applyAlignment="1" pivotButton="0" quotePrefix="0" xfId="4">
      <alignment horizontal="center" vertical="center"/>
    </xf>
    <xf numFmtId="0" fontId="6" fillId="0" borderId="1" applyAlignment="1" pivotButton="0" quotePrefix="0" xfId="3">
      <alignment horizontal="center" vertical="center"/>
    </xf>
    <xf numFmtId="0" fontId="6" fillId="0" borderId="1" applyAlignment="1" pivotButton="0" quotePrefix="0" xfId="3">
      <alignment horizontal="left" vertical="center"/>
    </xf>
    <xf numFmtId="38" fontId="6" fillId="0" borderId="1" applyAlignment="1" pivotButton="0" quotePrefix="0" xfId="5">
      <alignment horizontal="center" vertical="center"/>
    </xf>
    <xf numFmtId="38" fontId="7" fillId="0" borderId="1" applyAlignment="1" pivotButton="0" quotePrefix="0" xfId="5">
      <alignment horizontal="center" vertical="center"/>
    </xf>
    <xf numFmtId="0" fontId="6" fillId="2" borderId="2" applyAlignment="1" pivotButton="0" quotePrefix="0" xfId="6">
      <alignment horizontal="center" vertical="center"/>
    </xf>
    <xf numFmtId="49" fontId="7" fillId="2" borderId="2" applyAlignment="1" pivotButton="0" quotePrefix="0" xfId="6">
      <alignment horizontal="center" vertical="center"/>
    </xf>
    <xf numFmtId="49" fontId="6" fillId="2" borderId="2" applyAlignment="1" pivotButton="0" quotePrefix="0" xfId="6">
      <alignment horizontal="center" vertical="center"/>
    </xf>
    <xf numFmtId="164" fontId="6" fillId="2" borderId="2" applyAlignment="1" pivotButton="0" quotePrefix="0" xfId="6">
      <alignment horizontal="center" vertical="center"/>
    </xf>
    <xf numFmtId="49" fontId="6" fillId="2" borderId="2" applyAlignment="1" pivotButton="0" quotePrefix="0" xfId="6">
      <alignment horizontal="center" vertical="center" wrapText="1"/>
    </xf>
    <xf numFmtId="0" fontId="6" fillId="2" borderId="2" applyAlignment="1" pivotButton="0" quotePrefix="0" xfId="6">
      <alignment horizontal="center" vertical="center" wrapText="1"/>
    </xf>
    <xf numFmtId="0" fontId="6" fillId="0" borderId="0" applyAlignment="1" pivotButton="0" quotePrefix="0" xfId="1">
      <alignment horizontal="center" vertical="center"/>
    </xf>
    <xf numFmtId="0" fontId="6" fillId="0" borderId="2" applyAlignment="1" pivotButton="0" quotePrefix="0" xfId="7">
      <alignment horizontal="center" vertical="center"/>
    </xf>
    <xf numFmtId="0" fontId="7" fillId="0" borderId="2" applyAlignment="1" pivotButton="0" quotePrefix="0" xfId="7">
      <alignment horizontal="center" vertical="center"/>
    </xf>
    <xf numFmtId="0" fontId="6" fillId="0" borderId="3" applyAlignment="1" pivotButton="0" quotePrefix="0" xfId="7">
      <alignment horizontal="center" vertical="center"/>
    </xf>
    <xf numFmtId="49" fontId="13" fillId="0" borderId="4" applyAlignment="1" pivotButton="0" quotePrefix="0" xfId="7">
      <alignment horizontal="center" vertical="center"/>
    </xf>
    <xf numFmtId="0" fontId="13" fillId="0" borderId="5" applyAlignment="1" pivotButton="0" quotePrefix="0" xfId="8">
      <alignment horizontal="center" vertical="center"/>
    </xf>
    <xf numFmtId="49" fontId="13" fillId="0" borderId="3" applyAlignment="1" pivotButton="0" quotePrefix="0" xfId="6">
      <alignment horizontal="center" vertical="center"/>
    </xf>
    <xf numFmtId="49" fontId="7" fillId="0" borderId="2" applyAlignment="1" pivotButton="0" quotePrefix="0" xfId="6">
      <alignment horizontal="center" vertical="center"/>
    </xf>
    <xf numFmtId="167" fontId="6" fillId="0" borderId="2" applyAlignment="1" pivotButton="0" quotePrefix="0" xfId="7">
      <alignment horizontal="center" vertical="center"/>
    </xf>
    <xf numFmtId="49" fontId="7" fillId="0" borderId="2" applyAlignment="1" pivotButton="0" quotePrefix="0" xfId="7">
      <alignment horizontal="center" vertical="center"/>
    </xf>
    <xf numFmtId="20" fontId="6" fillId="0" borderId="2" applyAlignment="1" pivotButton="0" quotePrefix="0" xfId="9">
      <alignment horizontal="center" vertical="center"/>
    </xf>
    <xf numFmtId="49" fontId="6" fillId="0" borderId="2" applyAlignment="1" pivotButton="0" quotePrefix="0" xfId="7">
      <alignment horizontal="center" vertical="center"/>
    </xf>
    <xf numFmtId="49" fontId="7" fillId="0" borderId="2" applyAlignment="1" pivotButton="0" quotePrefix="0" xfId="1">
      <alignment horizontal="center" vertical="center" wrapText="1"/>
    </xf>
    <xf numFmtId="0" fontId="6" fillId="0" borderId="0" applyAlignment="1" pivotButton="0" quotePrefix="0" xfId="8">
      <alignment vertical="center"/>
    </xf>
    <xf numFmtId="49" fontId="6" fillId="0" borderId="2" applyAlignment="1" pivotButton="0" quotePrefix="0" xfId="6">
      <alignment horizontal="center" vertical="center"/>
    </xf>
    <xf numFmtId="20" fontId="6" fillId="0" borderId="2" applyAlignment="1" pivotButton="0" quotePrefix="0" xfId="7">
      <alignment horizontal="center" vertical="center"/>
    </xf>
    <xf numFmtId="167" fontId="6" fillId="3" borderId="2" applyAlignment="1" pivotButton="0" quotePrefix="0" xfId="7">
      <alignment horizontal="center" vertical="center"/>
    </xf>
    <xf numFmtId="0" fontId="6" fillId="0" borderId="0" applyAlignment="1" pivotButton="0" quotePrefix="0" xfId="8">
      <alignment horizontal="center" vertical="center"/>
    </xf>
    <xf numFmtId="49" fontId="13" fillId="0" borderId="2" applyAlignment="1" pivotButton="0" quotePrefix="0" xfId="6">
      <alignment horizontal="center" vertical="center"/>
    </xf>
    <xf numFmtId="0" fontId="6" fillId="4" borderId="2" applyAlignment="1" pivotButton="0" quotePrefix="0" xfId="7">
      <alignment horizontal="center" vertical="center"/>
    </xf>
    <xf numFmtId="0" fontId="7" fillId="4" borderId="2" applyAlignment="1" pivotButton="0" quotePrefix="0" xfId="7">
      <alignment horizontal="center" vertical="center"/>
    </xf>
    <xf numFmtId="0" fontId="6" fillId="4" borderId="3" applyAlignment="1" pivotButton="0" quotePrefix="0" xfId="7">
      <alignment horizontal="center" vertical="center"/>
    </xf>
    <xf numFmtId="49" fontId="13" fillId="4" borderId="4" applyAlignment="1" pivotButton="0" quotePrefix="0" xfId="7">
      <alignment horizontal="center" vertical="center"/>
    </xf>
    <xf numFmtId="0" fontId="13" fillId="4" borderId="5" applyAlignment="1" pivotButton="0" quotePrefix="0" xfId="8">
      <alignment horizontal="center" vertical="center"/>
    </xf>
    <xf numFmtId="49" fontId="13" fillId="4" borderId="3" applyAlignment="1" pivotButton="0" quotePrefix="0" xfId="6">
      <alignment horizontal="center" vertical="center"/>
    </xf>
    <xf numFmtId="49" fontId="6" fillId="4" borderId="2" applyAlignment="1" pivotButton="0" quotePrefix="0" xfId="6">
      <alignment horizontal="center" vertical="center"/>
    </xf>
    <xf numFmtId="167" fontId="6" fillId="4" borderId="2" applyAlignment="1" pivotButton="0" quotePrefix="0" xfId="7">
      <alignment horizontal="center" vertical="center"/>
    </xf>
    <xf numFmtId="49" fontId="6" fillId="4" borderId="2" applyAlignment="1" pivotButton="0" quotePrefix="0" xfId="7">
      <alignment horizontal="center" vertical="center"/>
    </xf>
    <xf numFmtId="20" fontId="6" fillId="4" borderId="2" applyAlignment="1" pivotButton="0" quotePrefix="0" xfId="9">
      <alignment horizontal="center" vertical="center"/>
    </xf>
    <xf numFmtId="49" fontId="7" fillId="4" borderId="2" applyAlignment="1" pivotButton="0" quotePrefix="0" xfId="1">
      <alignment horizontal="center" vertical="center" wrapText="1"/>
    </xf>
    <xf numFmtId="0" fontId="6" fillId="4" borderId="0" applyAlignment="1" pivotButton="0" quotePrefix="0" xfId="8">
      <alignment vertical="center"/>
    </xf>
    <xf numFmtId="20" fontId="6" fillId="4" borderId="2" applyAlignment="1" pivotButton="0" quotePrefix="0" xfId="7">
      <alignment horizontal="center" vertical="center"/>
    </xf>
    <xf numFmtId="0" fontId="6" fillId="5" borderId="2" applyAlignment="1" pivotButton="0" quotePrefix="0" xfId="7">
      <alignment horizontal="center" vertical="center"/>
    </xf>
    <xf numFmtId="0" fontId="7" fillId="5" borderId="2" applyAlignment="1" pivotButton="0" quotePrefix="0" xfId="7">
      <alignment horizontal="center" vertical="center"/>
    </xf>
    <xf numFmtId="0" fontId="6" fillId="5" borderId="3" applyAlignment="1" pivotButton="0" quotePrefix="0" xfId="7">
      <alignment horizontal="center" vertical="center"/>
    </xf>
    <xf numFmtId="49" fontId="13" fillId="5" borderId="4" applyAlignment="1" pivotButton="0" quotePrefix="0" xfId="7">
      <alignment horizontal="center" vertical="center"/>
    </xf>
    <xf numFmtId="0" fontId="13" fillId="5" borderId="5" applyAlignment="1" pivotButton="0" quotePrefix="0" xfId="8">
      <alignment horizontal="center" vertical="center"/>
    </xf>
    <xf numFmtId="49" fontId="13" fillId="5" borderId="3" applyAlignment="1" pivotButton="0" quotePrefix="0" xfId="6">
      <alignment horizontal="center" vertical="center"/>
    </xf>
    <xf numFmtId="49" fontId="6" fillId="5" borderId="2" applyAlignment="1" pivotButton="0" quotePrefix="0" xfId="6">
      <alignment horizontal="center" vertical="center"/>
    </xf>
    <xf numFmtId="167" fontId="6" fillId="5" borderId="2" applyAlignment="1" pivotButton="0" quotePrefix="0" xfId="7">
      <alignment horizontal="center" vertical="center"/>
    </xf>
    <xf numFmtId="49" fontId="6" fillId="5" borderId="2" applyAlignment="1" pivotButton="0" quotePrefix="0" xfId="7">
      <alignment horizontal="center" vertical="center"/>
    </xf>
    <xf numFmtId="20" fontId="6" fillId="5" borderId="2" applyAlignment="1" pivotButton="0" quotePrefix="0" xfId="9">
      <alignment horizontal="center" vertical="center"/>
    </xf>
    <xf numFmtId="20" fontId="6" fillId="5" borderId="2" applyAlignment="1" pivotButton="0" quotePrefix="0" xfId="7">
      <alignment horizontal="center" vertical="center"/>
    </xf>
    <xf numFmtId="49" fontId="7" fillId="5" borderId="2" applyAlignment="1" pivotButton="0" quotePrefix="0" xfId="1">
      <alignment horizontal="center" vertical="center" wrapText="1"/>
    </xf>
    <xf numFmtId="0" fontId="6" fillId="6" borderId="2" applyAlignment="1" pivotButton="0" quotePrefix="0" xfId="7">
      <alignment horizontal="center" vertical="center"/>
    </xf>
    <xf numFmtId="0" fontId="7" fillId="6" borderId="2" applyAlignment="1" pivotButton="0" quotePrefix="0" xfId="7">
      <alignment horizontal="center" vertical="center"/>
    </xf>
    <xf numFmtId="0" fontId="6" fillId="6" borderId="3" applyAlignment="1" pivotButton="0" quotePrefix="0" xfId="7">
      <alignment horizontal="center" vertical="center"/>
    </xf>
    <xf numFmtId="49" fontId="13" fillId="6" borderId="4" applyAlignment="1" pivotButton="0" quotePrefix="0" xfId="7">
      <alignment horizontal="center" vertical="center"/>
    </xf>
    <xf numFmtId="0" fontId="13" fillId="6" borderId="5" applyAlignment="1" pivotButton="0" quotePrefix="0" xfId="8">
      <alignment horizontal="center" vertical="center"/>
    </xf>
    <xf numFmtId="49" fontId="13" fillId="6" borderId="3" applyAlignment="1" pivotButton="0" quotePrefix="0" xfId="6">
      <alignment horizontal="center" vertical="center"/>
    </xf>
    <xf numFmtId="49" fontId="6" fillId="6" borderId="2" applyAlignment="1" pivotButton="0" quotePrefix="0" xfId="6">
      <alignment horizontal="center" vertical="center"/>
    </xf>
    <xf numFmtId="167" fontId="6" fillId="6" borderId="2" applyAlignment="1" pivotButton="0" quotePrefix="0" xfId="7">
      <alignment horizontal="center" vertical="center"/>
    </xf>
    <xf numFmtId="49" fontId="6" fillId="6" borderId="2" applyAlignment="1" pivotButton="0" quotePrefix="0" xfId="7">
      <alignment horizontal="center" vertical="center"/>
    </xf>
    <xf numFmtId="20" fontId="6" fillId="6" borderId="2" applyAlignment="1" pivotButton="0" quotePrefix="0" xfId="9">
      <alignment horizontal="center" vertical="center"/>
    </xf>
    <xf numFmtId="20" fontId="6" fillId="6" borderId="2" applyAlignment="1" pivotButton="0" quotePrefix="0" xfId="7">
      <alignment horizontal="center" vertical="center"/>
    </xf>
    <xf numFmtId="49" fontId="7" fillId="6" borderId="2" applyAlignment="1" pivotButton="0" quotePrefix="0" xfId="1">
      <alignment horizontal="center" vertical="center" wrapText="1"/>
    </xf>
    <xf numFmtId="0" fontId="6" fillId="6" borderId="0" applyAlignment="1" pivotButton="0" quotePrefix="0" xfId="8">
      <alignment vertical="center"/>
    </xf>
    <xf numFmtId="0" fontId="6" fillId="7" borderId="2" applyAlignment="1" pivotButton="0" quotePrefix="0" xfId="7">
      <alignment horizontal="center" vertical="center"/>
    </xf>
    <xf numFmtId="0" fontId="7" fillId="7" borderId="2" applyAlignment="1" pivotButton="0" quotePrefix="0" xfId="7">
      <alignment horizontal="center" vertical="center"/>
    </xf>
    <xf numFmtId="0" fontId="6" fillId="7" borderId="3" applyAlignment="1" pivotButton="0" quotePrefix="0" xfId="7">
      <alignment horizontal="center" vertical="center"/>
    </xf>
    <xf numFmtId="49" fontId="13" fillId="7" borderId="4" applyAlignment="1" pivotButton="0" quotePrefix="0" xfId="7">
      <alignment horizontal="center" vertical="center"/>
    </xf>
    <xf numFmtId="0" fontId="13" fillId="7" borderId="5" applyAlignment="1" pivotButton="0" quotePrefix="0" xfId="8">
      <alignment horizontal="center" vertical="center"/>
    </xf>
    <xf numFmtId="49" fontId="13" fillId="7" borderId="3" applyAlignment="1" pivotButton="0" quotePrefix="0" xfId="6">
      <alignment horizontal="center" vertical="center"/>
    </xf>
    <xf numFmtId="49" fontId="6" fillId="7" borderId="2" applyAlignment="1" pivotButton="0" quotePrefix="0" xfId="6">
      <alignment horizontal="center" vertical="center"/>
    </xf>
    <xf numFmtId="167" fontId="6" fillId="7" borderId="2" applyAlignment="1" pivotButton="0" quotePrefix="0" xfId="7">
      <alignment horizontal="center" vertical="center"/>
    </xf>
    <xf numFmtId="49" fontId="6" fillId="7" borderId="2" applyAlignment="1" pivotButton="0" quotePrefix="0" xfId="7">
      <alignment horizontal="center" vertical="center"/>
    </xf>
    <xf numFmtId="20" fontId="6" fillId="7" borderId="2" applyAlignment="1" pivotButton="0" quotePrefix="0" xfId="9">
      <alignment horizontal="center" vertical="center"/>
    </xf>
    <xf numFmtId="49" fontId="7" fillId="7" borderId="2" applyAlignment="1" pivotButton="0" quotePrefix="0" xfId="1">
      <alignment horizontal="center" vertical="center" wrapText="1"/>
    </xf>
    <xf numFmtId="0" fontId="6" fillId="7" borderId="0" applyAlignment="1" pivotButton="0" quotePrefix="0" xfId="8">
      <alignment vertical="center"/>
    </xf>
    <xf numFmtId="49" fontId="7" fillId="0" borderId="3" applyAlignment="1" pivotButton="0" quotePrefix="0" xfId="6">
      <alignment horizontal="center" vertical="center"/>
    </xf>
    <xf numFmtId="20" fontId="7" fillId="0" borderId="2" applyAlignment="1" pivotButton="0" quotePrefix="0" xfId="9">
      <alignment horizontal="center" vertical="center"/>
    </xf>
    <xf numFmtId="0" fontId="13" fillId="0" borderId="3" applyAlignment="1" pivotButton="0" quotePrefix="0" xfId="6">
      <alignment horizontal="center" vertical="center"/>
    </xf>
    <xf numFmtId="49" fontId="13" fillId="5" borderId="2" applyAlignment="1" pivotButton="0" quotePrefix="0" xfId="6">
      <alignment horizontal="center" vertical="center"/>
    </xf>
    <xf numFmtId="0" fontId="6" fillId="5" borderId="0" applyAlignment="1" pivotButton="0" quotePrefix="0" xfId="8">
      <alignment vertical="center"/>
    </xf>
    <xf numFmtId="49" fontId="13" fillId="4" borderId="2" applyAlignment="1" pivotButton="0" quotePrefix="0" xfId="6">
      <alignment horizontal="center" vertical="center"/>
    </xf>
    <xf numFmtId="0" fontId="7" fillId="4" borderId="3" applyAlignment="1" pivotButton="0" quotePrefix="0" xfId="7">
      <alignment horizontal="center" vertical="center"/>
    </xf>
    <xf numFmtId="0" fontId="7" fillId="0" borderId="3" applyAlignment="1" pivotButton="0" quotePrefix="0" xfId="7">
      <alignment horizontal="center" vertical="center"/>
    </xf>
    <xf numFmtId="0" fontId="7" fillId="7" borderId="3" applyAlignment="1" pivotButton="0" quotePrefix="0" xfId="7">
      <alignment horizontal="center" vertical="center"/>
    </xf>
    <xf numFmtId="49" fontId="13" fillId="7" borderId="2" applyAlignment="1" pivotButton="0" quotePrefix="0" xfId="6">
      <alignment horizontal="center" vertical="center"/>
    </xf>
    <xf numFmtId="49" fontId="15" fillId="0" borderId="2" applyAlignment="1" pivotButton="0" quotePrefix="0" xfId="1">
      <alignment horizontal="center" vertical="center" wrapText="1"/>
    </xf>
    <xf numFmtId="0" fontId="6" fillId="8" borderId="2" applyAlignment="1" pivotButton="0" quotePrefix="0" xfId="7">
      <alignment horizontal="center" vertical="center"/>
    </xf>
    <xf numFmtId="0" fontId="7" fillId="8" borderId="3" applyAlignment="1" pivotButton="0" quotePrefix="0" xfId="7">
      <alignment horizontal="center" vertical="center"/>
    </xf>
    <xf numFmtId="49" fontId="6" fillId="8" borderId="4" applyAlignment="1" pivotButton="0" quotePrefix="0" xfId="7">
      <alignment horizontal="center" vertical="center"/>
    </xf>
    <xf numFmtId="0" fontId="6" fillId="8" borderId="5" applyAlignment="1" pivotButton="0" quotePrefix="0" xfId="8">
      <alignment horizontal="center" vertical="center"/>
    </xf>
    <xf numFmtId="49" fontId="6" fillId="8" borderId="3" applyAlignment="1" pivotButton="0" quotePrefix="0" xfId="6">
      <alignment horizontal="center" vertical="center"/>
    </xf>
    <xf numFmtId="49" fontId="6" fillId="8" borderId="2" applyAlignment="1" pivotButton="0" quotePrefix="0" xfId="6">
      <alignment horizontal="center" vertical="center"/>
    </xf>
    <xf numFmtId="49" fontId="13" fillId="8" borderId="2" applyAlignment="1" pivotButton="0" quotePrefix="0" xfId="6">
      <alignment horizontal="center" vertical="center"/>
    </xf>
    <xf numFmtId="167" fontId="6" fillId="8" borderId="2" applyAlignment="1" pivotButton="0" quotePrefix="0" xfId="7">
      <alignment horizontal="center" vertical="center"/>
    </xf>
    <xf numFmtId="49" fontId="6" fillId="8" borderId="2" applyAlignment="1" pivotButton="0" quotePrefix="0" xfId="7">
      <alignment horizontal="center" vertical="center"/>
    </xf>
    <xf numFmtId="20" fontId="6" fillId="8" borderId="2" applyAlignment="1" pivotButton="0" quotePrefix="0" xfId="9">
      <alignment horizontal="center" vertical="center"/>
    </xf>
    <xf numFmtId="49" fontId="7" fillId="8" borderId="2" applyAlignment="1" pivotButton="0" quotePrefix="0" xfId="1">
      <alignment horizontal="center" vertical="center" wrapText="1"/>
    </xf>
    <xf numFmtId="0" fontId="6" fillId="8" borderId="0" applyAlignment="1" pivotButton="0" quotePrefix="0" xfId="8">
      <alignment vertical="center"/>
    </xf>
    <xf numFmtId="0" fontId="7" fillId="0" borderId="0" applyAlignment="1" pivotButton="0" quotePrefix="0" xfId="1">
      <alignment horizontal="center" vertical="center"/>
    </xf>
    <xf numFmtId="49" fontId="6" fillId="0" borderId="0" applyAlignment="1" pivotButton="0" quotePrefix="0" xfId="1">
      <alignment horizontal="center" vertical="center"/>
    </xf>
    <xf numFmtId="164" fontId="6" fillId="0" borderId="0" applyAlignment="1" pivotButton="0" quotePrefix="0" xfId="1">
      <alignment horizontal="center" vertical="center"/>
    </xf>
    <xf numFmtId="167" fontId="6" fillId="0" borderId="0" applyAlignment="1" pivotButton="0" quotePrefix="0" xfId="1">
      <alignment horizontal="center" vertical="center"/>
    </xf>
    <xf numFmtId="0" fontId="6" fillId="0" borderId="0" applyAlignment="1" pivotButton="0" quotePrefix="0" xfId="6">
      <alignment vertical="center"/>
    </xf>
    <xf numFmtId="0" fontId="6" fillId="0" borderId="0" applyAlignment="1" pivotButton="0" quotePrefix="0" xfId="6">
      <alignment horizontal="center" vertical="center"/>
    </xf>
    <xf numFmtId="167" fontId="6" fillId="0" borderId="0" applyAlignment="1" pivotButton="0" quotePrefix="0" xfId="6">
      <alignment horizontal="center" vertical="center"/>
    </xf>
    <xf numFmtId="14" fontId="6" fillId="0" borderId="0" applyAlignment="1" pivotButton="0" quotePrefix="0" xfId="6">
      <alignment horizontal="center" vertical="center"/>
    </xf>
    <xf numFmtId="166" fontId="6" fillId="0" borderId="0" applyAlignment="1" pivotButton="0" quotePrefix="0" xfId="3">
      <alignment horizontal="center" vertical="center"/>
    </xf>
    <xf numFmtId="167" fontId="8" fillId="0" borderId="1" applyAlignment="1" pivotButton="0" quotePrefix="0" xfId="6">
      <alignment horizontal="center" vertical="center"/>
    </xf>
    <xf numFmtId="0" fontId="6" fillId="0" borderId="1" applyAlignment="1" pivotButton="0" quotePrefix="0" xfId="6">
      <alignment horizontal="center" vertical="center"/>
    </xf>
    <xf numFmtId="0" fontId="6" fillId="0" borderId="0" applyAlignment="1" pivotButton="0" quotePrefix="0" xfId="3">
      <alignment vertical="center"/>
    </xf>
    <xf numFmtId="167" fontId="6" fillId="0" borderId="1" applyAlignment="1" pivotButton="0" quotePrefix="0" xfId="3">
      <alignment horizontal="center" vertical="center"/>
    </xf>
    <xf numFmtId="0" fontId="6" fillId="0" borderId="1" applyAlignment="1" pivotButton="0" quotePrefix="0" xfId="3">
      <alignment horizontal="right" vertical="center"/>
    </xf>
    <xf numFmtId="20" fontId="6" fillId="0" borderId="0" applyAlignment="1" pivotButton="0" quotePrefix="0" xfId="6">
      <alignment vertical="center"/>
    </xf>
    <xf numFmtId="20" fontId="6" fillId="2" borderId="2" applyAlignment="1" pivotButton="0" quotePrefix="0" xfId="6">
      <alignment horizontal="center" vertical="center"/>
    </xf>
    <xf numFmtId="20" fontId="6" fillId="2" borderId="11" applyAlignment="1" pivotButton="0" quotePrefix="0" xfId="6">
      <alignment horizontal="center" vertical="center"/>
    </xf>
    <xf numFmtId="167" fontId="6" fillId="2" borderId="12" applyAlignment="1" pivotButton="0" quotePrefix="0" xfId="6">
      <alignment horizontal="center" vertical="center"/>
    </xf>
    <xf numFmtId="0" fontId="6" fillId="2" borderId="0" applyAlignment="1" pivotButton="0" quotePrefix="0" xfId="6">
      <alignment vertical="center"/>
    </xf>
    <xf numFmtId="49" fontId="28" fillId="0" borderId="2" applyAlignment="1" pivotButton="0" quotePrefix="0" xfId="7">
      <alignment horizontal="center" vertical="center"/>
    </xf>
    <xf numFmtId="49" fontId="29" fillId="0" borderId="2" applyAlignment="1" pivotButton="0" quotePrefix="0" xfId="7">
      <alignment horizontal="center" vertical="center"/>
    </xf>
    <xf numFmtId="0" fontId="29" fillId="0" borderId="2" applyAlignment="1" pivotButton="0" quotePrefix="0" xfId="10">
      <alignment horizontal="center" vertical="center"/>
    </xf>
    <xf numFmtId="49" fontId="30" fillId="0" borderId="3" applyAlignment="1" pivotButton="0" quotePrefix="0" xfId="6">
      <alignment horizontal="center" vertical="center"/>
    </xf>
    <xf numFmtId="49" fontId="31" fillId="0" borderId="2" applyAlignment="1" pivotButton="0" quotePrefix="0" xfId="6">
      <alignment horizontal="center" vertical="center"/>
    </xf>
    <xf numFmtId="167" fontId="29" fillId="0" borderId="2" applyAlignment="1" pivotButton="0" quotePrefix="0" xfId="7">
      <alignment horizontal="center" vertical="center"/>
    </xf>
    <xf numFmtId="20" fontId="29" fillId="0" borderId="2" applyAlignment="1" pivotButton="0" quotePrefix="0" xfId="7">
      <alignment horizontal="center" vertical="center"/>
    </xf>
    <xf numFmtId="0" fontId="29" fillId="0" borderId="2" applyAlignment="1" pivotButton="0" quotePrefix="0" xfId="7">
      <alignment horizontal="center" vertical="center"/>
    </xf>
    <xf numFmtId="0" fontId="32" fillId="0" borderId="2" applyAlignment="1" pivotButton="0" quotePrefix="0" xfId="6">
      <alignment horizontal="center" vertical="center" wrapText="1"/>
    </xf>
    <xf numFmtId="0" fontId="29" fillId="0" borderId="2" applyAlignment="1" pivotButton="0" quotePrefix="0" xfId="6">
      <alignment horizontal="center" vertical="center" wrapText="1"/>
    </xf>
    <xf numFmtId="16" fontId="33" fillId="0" borderId="3" applyAlignment="1" pivotButton="0" quotePrefix="1" xfId="6">
      <alignment horizontal="center" vertical="center" wrapText="1"/>
    </xf>
    <xf numFmtId="0" fontId="29" fillId="6" borderId="0" applyAlignment="1" pivotButton="0" quotePrefix="0" xfId="6">
      <alignment vertical="center"/>
    </xf>
    <xf numFmtId="49" fontId="29" fillId="0" borderId="4" applyAlignment="1" pivotButton="0" quotePrefix="0" xfId="7">
      <alignment horizontal="center" vertical="center"/>
    </xf>
    <xf numFmtId="49" fontId="31" fillId="0" borderId="3" applyAlignment="1" pivotButton="0" quotePrefix="0" xfId="6">
      <alignment horizontal="center" vertical="center"/>
    </xf>
    <xf numFmtId="49" fontId="29" fillId="6" borderId="2" applyAlignment="1" pivotButton="0" quotePrefix="0" xfId="7">
      <alignment horizontal="center" vertical="center"/>
    </xf>
    <xf numFmtId="49" fontId="31" fillId="6" borderId="4" applyAlignment="1" pivotButton="0" quotePrefix="0" xfId="7">
      <alignment horizontal="center" vertical="center"/>
    </xf>
    <xf numFmtId="0" fontId="31" fillId="6" borderId="5" applyAlignment="1" pivotButton="0" quotePrefix="0" xfId="8">
      <alignment horizontal="center" vertical="center"/>
    </xf>
    <xf numFmtId="49" fontId="30" fillId="6" borderId="3" applyAlignment="1" pivotButton="0" quotePrefix="0" xfId="6">
      <alignment horizontal="center" vertical="center"/>
    </xf>
    <xf numFmtId="49" fontId="31" fillId="6" borderId="3" applyAlignment="1" pivotButton="0" quotePrefix="0" xfId="6">
      <alignment horizontal="center" vertical="center"/>
    </xf>
    <xf numFmtId="167" fontId="29" fillId="6" borderId="2" applyAlignment="1" pivotButton="0" quotePrefix="0" xfId="7">
      <alignment horizontal="center" vertical="center"/>
    </xf>
    <xf numFmtId="20" fontId="29" fillId="6" borderId="2" applyAlignment="1" pivotButton="0" quotePrefix="0" xfId="7">
      <alignment horizontal="center" vertical="center"/>
    </xf>
    <xf numFmtId="0" fontId="29" fillId="6" borderId="2" applyAlignment="1" pivotButton="0" quotePrefix="0" xfId="7">
      <alignment horizontal="center" vertical="center"/>
    </xf>
    <xf numFmtId="0" fontId="32" fillId="6" borderId="2" applyAlignment="1" pivotButton="0" quotePrefix="0" xfId="6">
      <alignment horizontal="center" vertical="center" wrapText="1"/>
    </xf>
    <xf numFmtId="0" fontId="29" fillId="6" borderId="2" applyAlignment="1" pivotButton="0" quotePrefix="0" xfId="6">
      <alignment horizontal="center" vertical="center" wrapText="1"/>
    </xf>
    <xf numFmtId="16" fontId="33" fillId="0" borderId="2" applyAlignment="1" pivotButton="0" quotePrefix="1" xfId="6">
      <alignment horizontal="center" vertical="center" wrapText="1"/>
    </xf>
    <xf numFmtId="49" fontId="30" fillId="0" borderId="2" applyAlignment="1" pivotButton="0" quotePrefix="0" xfId="6">
      <alignment horizontal="center" vertical="center"/>
    </xf>
    <xf numFmtId="16" fontId="33" fillId="0" borderId="3" applyAlignment="1" pivotButton="0" quotePrefix="0" xfId="6">
      <alignment horizontal="center" vertical="center" wrapText="1"/>
    </xf>
    <xf numFmtId="0" fontId="29" fillId="0" borderId="0" applyAlignment="1" pivotButton="0" quotePrefix="0" xfId="6">
      <alignment vertical="center"/>
    </xf>
    <xf numFmtId="49" fontId="6" fillId="0" borderId="0" applyAlignment="1" pivotButton="0" quotePrefix="0" xfId="6">
      <alignment vertical="center"/>
    </xf>
    <xf numFmtId="0" fontId="6" fillId="0" borderId="6" applyAlignment="1" pivotButton="0" quotePrefix="0" xfId="7">
      <alignment horizontal="center" vertical="center"/>
    </xf>
    <xf numFmtId="0" fontId="6" fillId="0" borderId="3" applyAlignment="1" pivotButton="0" quotePrefix="0" xfId="7">
      <alignment horizontal="center" vertical="center"/>
    </xf>
    <xf numFmtId="49" fontId="13" fillId="0" borderId="7" applyAlignment="1" pivotButton="0" quotePrefix="0" xfId="7">
      <alignment horizontal="center" vertical="center"/>
    </xf>
    <xf numFmtId="49" fontId="13" fillId="0" borderId="9" applyAlignment="1" pivotButton="0" quotePrefix="0" xfId="7">
      <alignment horizontal="center" vertical="center"/>
    </xf>
    <xf numFmtId="0" fontId="13" fillId="0" borderId="8" applyAlignment="1" pivotButton="0" quotePrefix="0" xfId="8">
      <alignment horizontal="center" vertical="center"/>
    </xf>
    <xf numFmtId="0" fontId="13" fillId="0" borderId="10" applyAlignment="1" pivotButton="0" quotePrefix="0" xfId="8">
      <alignment horizontal="center" vertical="center"/>
    </xf>
    <xf numFmtId="49" fontId="13" fillId="0" borderId="6" applyAlignment="1" pivotButton="0" quotePrefix="0" xfId="6">
      <alignment horizontal="center" vertical="center"/>
    </xf>
    <xf numFmtId="49" fontId="13" fillId="0" borderId="3" applyAlignment="1" pivotButton="0" quotePrefix="0" xfId="6">
      <alignment horizontal="center" vertical="center"/>
    </xf>
    <xf numFmtId="0" fontId="6" fillId="4" borderId="6" applyAlignment="1" pivotButton="0" quotePrefix="0" xfId="7">
      <alignment horizontal="center" vertical="center"/>
    </xf>
    <xf numFmtId="0" fontId="6" fillId="4" borderId="3" applyAlignment="1" pivotButton="0" quotePrefix="0" xfId="7">
      <alignment horizontal="center" vertical="center"/>
    </xf>
    <xf numFmtId="49" fontId="13" fillId="4" borderId="7" applyAlignment="1" pivotButton="0" quotePrefix="0" xfId="7">
      <alignment horizontal="center" vertical="center"/>
    </xf>
    <xf numFmtId="49" fontId="13" fillId="4" borderId="9" applyAlignment="1" pivotButton="0" quotePrefix="0" xfId="7">
      <alignment horizontal="center" vertical="center"/>
    </xf>
    <xf numFmtId="0" fontId="13" fillId="4" borderId="8" applyAlignment="1" pivotButton="0" quotePrefix="0" xfId="8">
      <alignment horizontal="center" vertical="center"/>
    </xf>
    <xf numFmtId="0" fontId="13" fillId="4" borderId="10" applyAlignment="1" pivotButton="0" quotePrefix="0" xfId="8">
      <alignment horizontal="center" vertical="center"/>
    </xf>
    <xf numFmtId="49" fontId="13" fillId="4" borderId="6" applyAlignment="1" pivotButton="0" quotePrefix="0" xfId="6">
      <alignment horizontal="center" vertical="center"/>
    </xf>
    <xf numFmtId="49" fontId="13" fillId="4" borderId="3" applyAlignment="1" pivotButton="0" quotePrefix="0" xfId="6">
      <alignment horizontal="center" vertical="center"/>
    </xf>
    <xf numFmtId="0" fontId="3" fillId="0" borderId="0" applyAlignment="1" pivotButton="0" quotePrefix="0" xfId="1">
      <alignment horizontal="center" vertical="center"/>
    </xf>
    <xf numFmtId="165" fontId="6" fillId="0" borderId="0" applyAlignment="1" pivotButton="0" quotePrefix="0" xfId="3">
      <alignment horizontal="center" vertical="center"/>
    </xf>
    <xf numFmtId="38" fontId="6" fillId="0" borderId="1" applyAlignment="1" pivotButton="0" quotePrefix="0" xfId="5">
      <alignment horizontal="center" vertical="center"/>
    </xf>
    <xf numFmtId="0" fontId="22" fillId="0" borderId="0" applyAlignment="1" pivotButton="0" quotePrefix="0" xfId="6">
      <alignment horizontal="center" vertical="center"/>
    </xf>
    <xf numFmtId="165" fontId="6" fillId="0" borderId="0" applyAlignment="1" pivotButton="0" quotePrefix="0" xfId="3">
      <alignment horizontal="right" vertical="center"/>
    </xf>
    <xf numFmtId="20" fontId="6" fillId="2" borderId="11" applyAlignment="1" pivotButton="0" quotePrefix="0" xfId="6">
      <alignment horizontal="center" vertical="center"/>
    </xf>
    <xf numFmtId="20" fontId="6" fillId="2" borderId="12" applyAlignment="1" pivotButton="0" quotePrefix="0" xfId="6">
      <alignment horizontal="center" vertical="center"/>
    </xf>
    <xf numFmtId="16" fontId="33" fillId="0" borderId="6" applyAlignment="1" pivotButton="0" quotePrefix="1" xfId="6">
      <alignment horizontal="center" vertical="center" wrapText="1"/>
    </xf>
    <xf numFmtId="16" fontId="33" fillId="0" borderId="13" applyAlignment="1" pivotButton="0" quotePrefix="1" xfId="6">
      <alignment horizontal="center" vertical="center" wrapText="1"/>
    </xf>
    <xf numFmtId="164" fontId="6" fillId="0" borderId="0" applyAlignment="1" pivotButton="0" quotePrefix="0" xfId="1">
      <alignment horizontal="center" vertical="center"/>
    </xf>
    <xf numFmtId="167" fontId="6" fillId="0" borderId="0" applyAlignment="1" pivotButton="0" quotePrefix="0" xfId="1">
      <alignment horizontal="center" vertical="center"/>
    </xf>
    <xf numFmtId="0" fontId="0" fillId="0" borderId="0" pivotButton="0" quotePrefix="0" xfId="0"/>
    <xf numFmtId="164" fontId="6" fillId="0" borderId="0" applyAlignment="1" pivotButton="0" quotePrefix="0" xfId="2">
      <alignment vertical="center"/>
    </xf>
    <xf numFmtId="165" fontId="6" fillId="0" borderId="0" applyAlignment="1" pivotButton="0" quotePrefix="0" xfId="3">
      <alignment horizontal="center" vertical="center"/>
    </xf>
    <xf numFmtId="166" fontId="7" fillId="0" borderId="0" applyAlignment="1" pivotButton="0" quotePrefix="0" xfId="3">
      <alignment horizontal="center" vertical="center"/>
    </xf>
    <xf numFmtId="164" fontId="6" fillId="0" borderId="0" applyAlignment="1" pivotButton="0" quotePrefix="0" xfId="3">
      <alignment horizontal="center" vertical="center"/>
    </xf>
    <xf numFmtId="167" fontId="8" fillId="0" borderId="1" applyAlignment="1" pivotButton="0" quotePrefix="0" xfId="3">
      <alignment horizontal="center" vertical="center"/>
    </xf>
    <xf numFmtId="0" fontId="0" fillId="0" borderId="1" pivotButton="0" quotePrefix="0" xfId="0"/>
    <xf numFmtId="164" fontId="6" fillId="2" borderId="2" applyAlignment="1" pivotButton="0" quotePrefix="0" xfId="6">
      <alignment horizontal="center" vertical="center"/>
    </xf>
    <xf numFmtId="49" fontId="36" fillId="9" borderId="22" applyAlignment="1" pivotButton="0" quotePrefix="0" xfId="0">
      <alignment horizontal="center" vertical="center"/>
    </xf>
    <xf numFmtId="167" fontId="6" fillId="0" borderId="2" applyAlignment="1" pivotButton="0" quotePrefix="0" xfId="7">
      <alignment horizontal="center" vertical="center"/>
    </xf>
    <xf numFmtId="49" fontId="13" fillId="0" borderId="15" applyAlignment="1" pivotButton="0" quotePrefix="0" xfId="7">
      <alignment horizontal="center" vertical="center"/>
    </xf>
    <xf numFmtId="0" fontId="13" fillId="0" borderId="17" applyAlignment="1" pivotButton="0" quotePrefix="0" xfId="8">
      <alignment horizontal="center" vertical="center"/>
    </xf>
    <xf numFmtId="167" fontId="6" fillId="3" borderId="2" applyAlignment="1" pivotButton="0" quotePrefix="0" xfId="7">
      <alignment horizontal="center" vertical="center"/>
    </xf>
    <xf numFmtId="0" fontId="0" fillId="0" borderId="3" pivotButton="0" quotePrefix="0" xfId="0"/>
    <xf numFmtId="0" fontId="0" fillId="0" borderId="9" pivotButton="0" quotePrefix="0" xfId="0"/>
    <xf numFmtId="0" fontId="0" fillId="0" borderId="10" pivotButton="0" quotePrefix="0" xfId="0"/>
    <xf numFmtId="167" fontId="6" fillId="4" borderId="2" applyAlignment="1" pivotButton="0" quotePrefix="0" xfId="7">
      <alignment horizontal="center" vertical="center"/>
    </xf>
    <xf numFmtId="1" fontId="36" fillId="9" borderId="22" applyAlignment="1" pivotButton="0" quotePrefix="0" xfId="0">
      <alignment horizontal="center" vertical="center"/>
    </xf>
    <xf numFmtId="167" fontId="6" fillId="5" borderId="2" applyAlignment="1" pivotButton="0" quotePrefix="0" xfId="7">
      <alignment horizontal="center" vertical="center"/>
    </xf>
    <xf numFmtId="49" fontId="13" fillId="4" borderId="15" applyAlignment="1" pivotButton="0" quotePrefix="0" xfId="7">
      <alignment horizontal="center" vertical="center"/>
    </xf>
    <xf numFmtId="0" fontId="13" fillId="4" borderId="17" applyAlignment="1" pivotButton="0" quotePrefix="0" xfId="8">
      <alignment horizontal="center" vertical="center"/>
    </xf>
    <xf numFmtId="167" fontId="6" fillId="6" borderId="2" applyAlignment="1" pivotButton="0" quotePrefix="0" xfId="7">
      <alignment horizontal="center" vertical="center"/>
    </xf>
    <xf numFmtId="167" fontId="6" fillId="7" borderId="2" applyAlignment="1" pivotButton="0" quotePrefix="0" xfId="7">
      <alignment horizontal="center" vertical="center"/>
    </xf>
    <xf numFmtId="167" fontId="6" fillId="8" borderId="2" applyAlignment="1" pivotButton="0" quotePrefix="0" xfId="7">
      <alignment horizontal="center" vertical="center"/>
    </xf>
    <xf numFmtId="0" fontId="36" fillId="10" borderId="22" applyAlignment="1" pivotButton="0" quotePrefix="0" xfId="0">
      <alignment horizontal="center" vertical="center"/>
    </xf>
    <xf numFmtId="167" fontId="6" fillId="0" borderId="0" applyAlignment="1" pivotButton="0" quotePrefix="0" xfId="6">
      <alignment horizontal="center" vertical="center"/>
    </xf>
    <xf numFmtId="165" fontId="6" fillId="0" borderId="0" applyAlignment="1" pivotButton="0" quotePrefix="0" xfId="3">
      <alignment horizontal="right" vertical="center"/>
    </xf>
    <xf numFmtId="166" fontId="6" fillId="0" borderId="0" applyAlignment="1" pivotButton="0" quotePrefix="0" xfId="3">
      <alignment horizontal="center" vertical="center"/>
    </xf>
    <xf numFmtId="167" fontId="8" fillId="0" borderId="1" applyAlignment="1" pivotButton="0" quotePrefix="0" xfId="6">
      <alignment horizontal="center" vertical="center"/>
    </xf>
    <xf numFmtId="167" fontId="6" fillId="0" borderId="1" applyAlignment="1" pivotButton="0" quotePrefix="0" xfId="3">
      <alignment horizontal="center" vertical="center"/>
    </xf>
    <xf numFmtId="0" fontId="0" fillId="0" borderId="12" pivotButton="0" quotePrefix="0" xfId="0"/>
    <xf numFmtId="167" fontId="6" fillId="2" borderId="12" applyAlignment="1" pivotButton="0" quotePrefix="0" xfId="6">
      <alignment horizontal="center" vertical="center"/>
    </xf>
    <xf numFmtId="167" fontId="29" fillId="0" borderId="2" applyAlignment="1" pivotButton="0" quotePrefix="0" xfId="7">
      <alignment horizontal="center" vertical="center"/>
    </xf>
    <xf numFmtId="0" fontId="0" fillId="0" borderId="13" pivotButton="0" quotePrefix="0" xfId="0"/>
    <xf numFmtId="167" fontId="29" fillId="6" borderId="2" applyAlignment="1" pivotButton="0" quotePrefix="0" xfId="7">
      <alignment horizontal="center" vertical="center"/>
    </xf>
  </cellXfs>
  <cellStyles count="11">
    <cellStyle name="標準" xfId="0" builtinId="0"/>
    <cellStyle name="標準 2 3 3 2 2 2 6 4 4" xfId="1"/>
    <cellStyle name="標準 2 2 4 7 5 4 3 3 2 15 10 2 3 3 2 2 2 2 2 2 2" xfId="2"/>
    <cellStyle name="標準 3 2 2 6 2 2 5 2 2 2 4 3 15 21 2 2 3 3 2 2 2 2 2 2 2" xfId="3"/>
    <cellStyle name="桁区切り 3 2 6 2 5 2 3 5 3 15 21 2 2 3 3 2 2 2 2 2 2 2" xfId="4"/>
    <cellStyle name="桁区切り 2 2 2 2 2 2 6 2 2 9" xfId="5"/>
    <cellStyle name="標準 2 2 4 7 5 4 3 3 2 15 10 2 2 3 3 2 2 2 2 2 2 2" xfId="6"/>
    <cellStyle name="標準 2 3 3 2 2 2 3 3 6 6 4 4 12" xfId="7"/>
    <cellStyle name="標準 2 3 3 2 2 2 6 4 4 12" xfId="8"/>
    <cellStyle name="標準 2 3 3 2 2 2 3 3 6 6 4 4 3" xfId="9"/>
    <cellStyle name="標準 2 3 3 2 2 2 3 7 2 2" xfId="10"/>
  </cellStyles>
  <dxfs count="10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13"/>
  <sheetViews>
    <sheetView tabSelected="1" view="pageBreakPreview" zoomScale="44" zoomScaleNormal="70" zoomScaleSheetLayoutView="44" workbookViewId="0">
      <pane ySplit="4" topLeftCell="A5" activePane="bottomLeft" state="frozen"/>
      <selection activeCell="W89" sqref="W89"/>
      <selection pane="bottomLeft" activeCell="A5" sqref="A5"/>
    </sheetView>
  </sheetViews>
  <sheetFormatPr baseColWidth="8" defaultRowHeight="20.25"/>
  <cols>
    <col width="8.625" customWidth="1" style="1" min="1" max="4"/>
    <col width="8.625" customWidth="1" style="114" min="5" max="5"/>
    <col width="8.625" customWidth="1" style="22" min="6" max="6"/>
    <col width="23" customWidth="1" style="115" min="7" max="7"/>
    <col width="20.75" customWidth="1" style="22" min="8" max="8"/>
    <col width="66.625" customWidth="1" style="22" min="9" max="9"/>
    <col width="13.125" customWidth="1" style="22" min="10" max="10"/>
    <col width="12.125" customWidth="1" style="187" min="11" max="11"/>
    <col width="11" customWidth="1" style="188" min="12" max="12"/>
    <col width="12" customWidth="1" style="115" min="13" max="13"/>
    <col width="10.625" customWidth="1" style="22" min="14" max="14"/>
    <col width="10" customWidth="1" style="115" min="15" max="15"/>
    <col width="10" customWidth="1" style="22" min="16" max="16"/>
    <col width="10" customWidth="1" style="22" min="17" max="17"/>
    <col width="10" customWidth="1" style="1" min="18" max="18"/>
    <col width="10" customWidth="1" style="22" min="19" max="22"/>
    <col width="10" customWidth="1" style="189" min="20" max="20"/>
    <col width="10" customWidth="1" style="189" min="21" max="21"/>
    <col width="10" customWidth="1" style="189" min="22" max="22"/>
    <col width="10" customWidth="1" style="114" min="23" max="23"/>
    <col width="9" customWidth="1" style="1" min="24" max="16384"/>
  </cols>
  <sheetData>
    <row r="1" ht="61.5" customHeight="1" s="189">
      <c r="A1" s="178" t="inlineStr">
        <is>
          <t xml:space="preserve">　　　　       作業指示書</t>
        </is>
      </c>
    </row>
    <row r="2">
      <c r="A2" s="2" t="n"/>
      <c r="B2" s="2" t="n"/>
      <c r="C2" s="2" t="n"/>
      <c r="D2" s="2" t="n"/>
      <c r="E2" s="3" t="n"/>
      <c r="F2" s="2" t="n"/>
      <c r="G2" s="4" t="n"/>
      <c r="H2" s="2" t="n"/>
      <c r="I2" s="2" t="n"/>
      <c r="J2" s="2" t="n"/>
      <c r="K2" s="190" t="n"/>
      <c r="L2" s="2" t="n"/>
      <c r="M2" s="4" t="n"/>
      <c r="N2" s="2" t="n"/>
      <c r="X2" s="4" t="n"/>
      <c r="Y2" s="2" t="n"/>
      <c r="Z2" s="2" t="n"/>
      <c r="AA2" s="191" t="n"/>
      <c r="AB2" s="191" t="n"/>
      <c r="AC2" s="191" t="n">
        <v>45966</v>
      </c>
      <c r="AF2" s="192">
        <f>WEEKDAY(T2)</f>
        <v/>
      </c>
    </row>
    <row r="3" ht="25.5" customHeight="1" s="189">
      <c r="A3" s="2" t="n"/>
      <c r="B3" s="2" t="n"/>
      <c r="C3" s="2" t="n"/>
      <c r="D3" s="2" t="n"/>
      <c r="E3" s="3" t="n"/>
      <c r="F3" s="2" t="n"/>
      <c r="G3" s="4" t="n"/>
      <c r="H3" s="2" t="n"/>
      <c r="I3" s="2" t="n"/>
      <c r="J3" s="2" t="n"/>
      <c r="K3" s="193" t="inlineStr">
        <is>
          <t>MAWB :</t>
        </is>
      </c>
      <c r="L3" s="194">
        <f>SUBTOTAL(3,G5:G414)</f>
        <v/>
      </c>
      <c r="M3" s="10" t="n"/>
      <c r="N3" s="11" t="n"/>
      <c r="X3" s="10" t="inlineStr">
        <is>
          <t>本数</t>
        </is>
      </c>
      <c r="Y3" s="11">
        <f>SUM(Q5:Q194)</f>
        <v/>
      </c>
      <c r="Z3" s="12" t="inlineStr">
        <is>
          <t>本</t>
        </is>
      </c>
      <c r="AA3" s="13" t="n"/>
      <c r="AB3" s="12" t="inlineStr">
        <is>
          <t>HAWB :</t>
        </is>
      </c>
      <c r="AC3" s="180">
        <f>SUM(L5:L11085)-L13-L17-L31-L57-L74</f>
        <v/>
      </c>
      <c r="AD3" s="195" t="n"/>
      <c r="AE3" s="180" t="n"/>
      <c r="AF3" s="15" t="n"/>
    </row>
    <row r="4" ht="51" customFormat="1" customHeight="1" s="22">
      <c r="A4" s="16" t="inlineStr">
        <is>
          <t>l</t>
        </is>
      </c>
      <c r="B4" s="16" t="n">
        <v>2</v>
      </c>
      <c r="C4" s="16" t="n">
        <v>3</v>
      </c>
      <c r="D4" s="16" t="n">
        <v>4</v>
      </c>
      <c r="E4" s="17" t="inlineStr">
        <is>
          <t>申告</t>
        </is>
      </c>
      <c r="F4" s="16" t="inlineStr">
        <is>
          <t>NO</t>
        </is>
      </c>
      <c r="G4" s="18" t="inlineStr">
        <is>
          <t>AWB番号</t>
        </is>
      </c>
      <c r="H4" s="16" t="inlineStr">
        <is>
          <t>代理店</t>
        </is>
      </c>
      <c r="I4" s="16" t="inlineStr">
        <is>
          <t>発送先</t>
        </is>
      </c>
      <c r="J4" s="16" t="inlineStr">
        <is>
          <t>FLT</t>
        </is>
      </c>
      <c r="K4" s="196" t="inlineStr">
        <is>
          <t>DAY</t>
        </is>
      </c>
      <c r="L4" s="16" t="inlineStr">
        <is>
          <t>件数</t>
        </is>
      </c>
      <c r="M4" s="20" t="inlineStr">
        <is>
          <t>着
予定日</t>
        </is>
      </c>
      <c r="N4" s="21" t="inlineStr">
        <is>
          <t>着
予定時間</t>
        </is>
      </c>
      <c r="O4" s="197" t="inlineStr">
        <is>
          <t>全体</t>
        </is>
      </c>
      <c r="P4" s="197" t="inlineStr">
        <is>
          <t>大阪</t>
        </is>
      </c>
      <c r="Q4" s="197" t="inlineStr">
        <is>
          <t>東京</t>
        </is>
      </c>
      <c r="R4" s="197" t="inlineStr">
        <is>
          <t>京都</t>
        </is>
      </c>
      <c r="S4" s="197" t="inlineStr">
        <is>
          <t>兵庫1</t>
        </is>
      </c>
      <c r="T4" s="197" t="inlineStr">
        <is>
          <t>兵庫2</t>
        </is>
      </c>
      <c r="U4" s="197" t="inlineStr">
        <is>
          <t>和歌山</t>
        </is>
      </c>
      <c r="V4" s="197" t="inlineStr">
        <is>
          <t>奈良</t>
        </is>
      </c>
      <c r="W4" s="197" t="inlineStr">
        <is>
          <t>滋賀</t>
        </is>
      </c>
      <c r="X4" s="20" t="inlineStr">
        <is>
          <t>PKG
時間</t>
        </is>
      </c>
      <c r="Y4" s="21" t="inlineStr">
        <is>
          <t>PKG
時間</t>
        </is>
      </c>
      <c r="Z4" s="16" t="inlineStr">
        <is>
          <t>M本数</t>
        </is>
      </c>
      <c r="AA4" s="16" t="n"/>
      <c r="AB4" s="21" t="inlineStr">
        <is>
          <t>横持
(OLT)</t>
        </is>
      </c>
      <c r="AC4" s="21" t="inlineStr">
        <is>
          <t>BIN</t>
        </is>
      </c>
      <c r="AD4" s="21" t="inlineStr">
        <is>
          <t>搬入
(HPK)</t>
        </is>
      </c>
      <c r="AE4" s="21" t="inlineStr">
        <is>
          <t>搬出
(OUT)</t>
        </is>
      </c>
      <c r="AF4" s="16" t="inlineStr">
        <is>
          <t>備考</t>
        </is>
      </c>
    </row>
    <row r="5" hidden="1" ht="42.75" customFormat="1" customHeight="1" s="35">
      <c r="A5" s="23" t="n"/>
      <c r="B5" s="23" t="n"/>
      <c r="C5" s="23" t="n"/>
      <c r="D5" s="23" t="n"/>
      <c r="E5" s="24" t="n"/>
      <c r="F5" s="163" t="n">
        <v>1</v>
      </c>
      <c r="G5" s="26" t="inlineStr">
        <is>
          <t>16003534576</t>
        </is>
      </c>
      <c r="H5" s="27" t="inlineStr">
        <is>
          <t>YTO</t>
        </is>
      </c>
      <c r="I5" s="169" t="inlineStr">
        <is>
          <t>佐川</t>
        </is>
      </c>
      <c r="J5" s="169" t="inlineStr">
        <is>
          <t>LD0204</t>
        </is>
      </c>
      <c r="K5" s="29" t="inlineStr">
        <is>
          <t>2-Nov</t>
        </is>
      </c>
      <c r="L5" s="198" t="n">
        <v>184</v>
      </c>
      <c r="M5" s="31" t="inlineStr">
        <is>
          <t>11/2</t>
        </is>
      </c>
      <c r="N5" s="32" t="n">
        <v>0.3263888888888889</v>
      </c>
      <c r="X5" s="33" t="n"/>
      <c r="Y5" s="23" t="n"/>
      <c r="Z5" s="23" t="n">
        <v>20</v>
      </c>
      <c r="AA5" s="23" t="n"/>
      <c r="AB5" s="23" t="n"/>
      <c r="AC5" s="23" t="n"/>
      <c r="AD5" s="23" t="n"/>
      <c r="AE5" s="23" t="n"/>
      <c r="AF5" s="34" t="inlineStr">
        <is>
          <t>佐川あり</t>
        </is>
      </c>
    </row>
    <row r="6" hidden="1" ht="42.75" customFormat="1" customHeight="1" s="35">
      <c r="A6" s="23" t="n"/>
      <c r="B6" s="23" t="n"/>
      <c r="C6" s="23" t="n"/>
      <c r="D6" s="23" t="n"/>
      <c r="E6" s="24" t="n"/>
      <c r="F6" s="163" t="n">
        <v>2</v>
      </c>
      <c r="G6" s="26" t="inlineStr">
        <is>
          <t>08900592686</t>
        </is>
      </c>
      <c r="H6" s="27" t="inlineStr">
        <is>
          <t>RG</t>
        </is>
      </c>
      <c r="I6" s="169" t="inlineStr">
        <is>
          <t>ヤマト/　佐川(261)</t>
        </is>
      </c>
      <c r="J6" s="169" t="inlineStr">
        <is>
          <t>9C6985</t>
        </is>
      </c>
      <c r="K6" s="36" t="inlineStr">
        <is>
          <t>1-Nov</t>
        </is>
      </c>
      <c r="L6" s="198" t="n">
        <v>327</v>
      </c>
      <c r="M6" s="33" t="inlineStr">
        <is>
          <t>11/1</t>
        </is>
      </c>
      <c r="N6" s="32" t="n">
        <v>0.4965277777777778</v>
      </c>
      <c r="X6" s="33" t="inlineStr">
        <is>
          <t>11/4</t>
        </is>
      </c>
      <c r="Y6" s="37" t="n">
        <v>0.75</v>
      </c>
      <c r="Z6" s="23" t="n">
        <v>68</v>
      </c>
      <c r="AA6" s="23" t="n"/>
      <c r="AB6" s="23" t="n"/>
      <c r="AC6" s="23" t="n"/>
      <c r="AD6" s="23" t="n"/>
      <c r="AE6" s="23" t="n"/>
      <c r="AF6" s="34" t="inlineStr">
        <is>
          <t>佐川あり</t>
        </is>
      </c>
    </row>
    <row r="7" hidden="1" ht="42.75" customFormat="1" customHeight="1" s="35">
      <c r="A7" s="23" t="n"/>
      <c r="B7" s="23" t="n"/>
      <c r="C7" s="23" t="n"/>
      <c r="D7" s="23" t="n"/>
      <c r="E7" s="24" t="n"/>
      <c r="F7" s="163" t="n">
        <v>3</v>
      </c>
      <c r="G7" s="26" t="inlineStr">
        <is>
          <t>92149766371</t>
        </is>
      </c>
      <c r="H7" s="27" t="inlineStr">
        <is>
          <t>YTO</t>
        </is>
      </c>
      <c r="I7" s="169" t="inlineStr">
        <is>
          <t>佐川</t>
        </is>
      </c>
      <c r="J7" s="169" t="inlineStr">
        <is>
          <t>O30277</t>
        </is>
      </c>
      <c r="K7" s="36" t="inlineStr">
        <is>
          <t>1-Nov</t>
        </is>
      </c>
      <c r="L7" s="198" t="n">
        <v>739</v>
      </c>
      <c r="M7" s="33" t="inlineStr">
        <is>
          <t>11/1</t>
        </is>
      </c>
      <c r="N7" s="32" t="n">
        <v>0.5625</v>
      </c>
      <c r="X7" s="33" t="inlineStr">
        <is>
          <t>11/4</t>
        </is>
      </c>
      <c r="Y7" s="37" t="n">
        <v>0.7277777777777777</v>
      </c>
      <c r="Z7" s="23" t="n">
        <v>101</v>
      </c>
      <c r="AA7" s="23" t="n"/>
      <c r="AB7" s="23" t="n"/>
      <c r="AC7" s="23" t="n"/>
      <c r="AD7" s="23" t="n"/>
      <c r="AE7" s="23" t="n"/>
      <c r="AF7" s="34" t="inlineStr">
        <is>
          <t>佐川あり</t>
        </is>
      </c>
    </row>
    <row r="8" hidden="1" ht="42.75" customFormat="1" customHeight="1" s="35">
      <c r="A8" s="23" t="n"/>
      <c r="B8" s="23" t="n"/>
      <c r="C8" s="23" t="n"/>
      <c r="D8" s="23" t="n"/>
      <c r="E8" s="24" t="n"/>
      <c r="F8" s="163" t="n">
        <v>4</v>
      </c>
      <c r="G8" s="26" t="inlineStr">
        <is>
          <t>16003137492</t>
        </is>
      </c>
      <c r="H8" s="27" t="inlineStr">
        <is>
          <t>YTO</t>
        </is>
      </c>
      <c r="I8" s="169" t="inlineStr">
        <is>
          <t>佐川</t>
        </is>
      </c>
      <c r="J8" s="169" t="inlineStr">
        <is>
          <t>CX0036</t>
        </is>
      </c>
      <c r="K8" s="36" t="inlineStr">
        <is>
          <t>1-Nov</t>
        </is>
      </c>
      <c r="L8" s="198" t="n">
        <v>177</v>
      </c>
      <c r="M8" s="33" t="inlineStr">
        <is>
          <t>11/1</t>
        </is>
      </c>
      <c r="N8" s="32" t="n">
        <v>0.6909722222222222</v>
      </c>
      <c r="X8" s="33" t="n"/>
      <c r="Y8" s="23" t="n"/>
      <c r="Z8" s="23" t="n">
        <v>24</v>
      </c>
      <c r="AA8" s="23" t="n"/>
      <c r="AB8" s="23" t="n"/>
      <c r="AC8" s="23" t="n"/>
      <c r="AD8" s="23" t="n"/>
      <c r="AE8" s="23" t="n"/>
      <c r="AF8" s="34" t="inlineStr">
        <is>
          <t>佐川あり</t>
        </is>
      </c>
    </row>
    <row r="9" hidden="1" ht="42.75" customFormat="1" customHeight="1" s="35">
      <c r="A9" s="23" t="n"/>
      <c r="B9" s="23" t="n"/>
      <c r="C9" s="23" t="n"/>
      <c r="D9" s="23" t="n"/>
      <c r="E9" s="24" t="n"/>
      <c r="F9" s="163" t="n">
        <v>5</v>
      </c>
      <c r="G9" s="26" t="inlineStr">
        <is>
          <t>92149451835</t>
        </is>
      </c>
      <c r="H9" s="27" t="inlineStr">
        <is>
          <t>NY</t>
        </is>
      </c>
      <c r="I9" s="169" t="inlineStr">
        <is>
          <t>ヤマト / ネコポス</t>
        </is>
      </c>
      <c r="J9" s="169" t="inlineStr">
        <is>
          <t>O30277</t>
        </is>
      </c>
      <c r="K9" s="36" t="inlineStr">
        <is>
          <t>1-Nov</t>
        </is>
      </c>
      <c r="L9" s="198" t="n">
        <v>2214</v>
      </c>
      <c r="M9" s="33" t="inlineStr">
        <is>
          <t>11/1</t>
        </is>
      </c>
      <c r="N9" s="32" t="n">
        <v>0.5625</v>
      </c>
      <c r="X9" s="33" t="inlineStr">
        <is>
          <t>11/4</t>
        </is>
      </c>
      <c r="Y9" s="37" t="n">
        <v>0.7277777777777777</v>
      </c>
      <c r="Z9" s="23" t="n">
        <v>124</v>
      </c>
      <c r="AA9" s="23" t="n"/>
      <c r="AB9" s="23" t="n"/>
      <c r="AC9" s="23" t="n"/>
      <c r="AD9" s="23" t="n"/>
      <c r="AE9" s="23" t="n"/>
      <c r="AF9" s="34" t="n"/>
    </row>
    <row r="10" hidden="1" ht="42.75" customFormat="1" customHeight="1" s="35">
      <c r="A10" s="23" t="n"/>
      <c r="B10" s="23" t="n"/>
      <c r="C10" s="23" t="n"/>
      <c r="D10" s="23" t="n"/>
      <c r="E10" s="24" t="n"/>
      <c r="F10" s="163" t="n">
        <v>6</v>
      </c>
      <c r="G10" s="26" t="inlineStr">
        <is>
          <t>92149766500</t>
        </is>
      </c>
      <c r="H10" s="27" t="inlineStr">
        <is>
          <t>YTO</t>
        </is>
      </c>
      <c r="I10" s="169" t="inlineStr">
        <is>
          <t>佐川</t>
        </is>
      </c>
      <c r="J10" s="169" t="inlineStr">
        <is>
          <t>O30277</t>
        </is>
      </c>
      <c r="K10" s="36" t="inlineStr">
        <is>
          <t>3-Nov</t>
        </is>
      </c>
      <c r="L10" s="198" t="n">
        <v>301</v>
      </c>
      <c r="M10" s="33" t="inlineStr">
        <is>
          <t>11/3</t>
        </is>
      </c>
      <c r="N10" s="32" t="n">
        <v>0.5416666666666666</v>
      </c>
      <c r="X10" s="33" t="n"/>
      <c r="Y10" s="23" t="n"/>
      <c r="Z10" s="23" t="n">
        <v>50</v>
      </c>
      <c r="AA10" s="23" t="n"/>
      <c r="AB10" s="23" t="n"/>
      <c r="AC10" s="23" t="n"/>
      <c r="AD10" s="23" t="n"/>
      <c r="AE10" s="23" t="n"/>
      <c r="AF10" s="34" t="inlineStr">
        <is>
          <t>佐川あり</t>
        </is>
      </c>
    </row>
    <row r="11" hidden="1" ht="42.75" customFormat="1" customHeight="1" s="35">
      <c r="A11" s="23" t="n"/>
      <c r="B11" s="23" t="n"/>
      <c r="C11" s="23" t="n"/>
      <c r="D11" s="23" t="n"/>
      <c r="E11" s="24" t="n"/>
      <c r="F11" s="163" t="n">
        <v>7</v>
      </c>
      <c r="G11" s="26" t="inlineStr">
        <is>
          <t>99433460044</t>
        </is>
      </c>
      <c r="H11" s="27" t="inlineStr">
        <is>
          <t>LDX</t>
        </is>
      </c>
      <c r="I11" s="169" t="inlineStr">
        <is>
          <t>ヤマト / ネコポス</t>
        </is>
      </c>
      <c r="J11" s="169" t="inlineStr">
        <is>
          <t>KJ0232</t>
        </is>
      </c>
      <c r="K11" s="36" t="inlineStr">
        <is>
          <t>3-Nov</t>
        </is>
      </c>
      <c r="L11" s="198" t="n">
        <v>291</v>
      </c>
      <c r="M11" s="33" t="inlineStr">
        <is>
          <t>11/3</t>
        </is>
      </c>
      <c r="N11" s="32" t="n">
        <v>0.7916666666666666</v>
      </c>
      <c r="X11" s="33" t="n"/>
      <c r="Y11" s="23" t="n"/>
      <c r="Z11" s="23" t="n">
        <v>96</v>
      </c>
      <c r="AA11" s="23" t="n"/>
      <c r="AB11" s="23" t="n"/>
      <c r="AC11" s="23" t="n"/>
      <c r="AD11" s="23" t="n"/>
      <c r="AE11" s="23" t="n"/>
      <c r="AF11" s="34" t="n"/>
    </row>
    <row r="12" hidden="1" ht="42.75" customFormat="1" customHeight="1" s="35">
      <c r="A12" s="23" t="n"/>
      <c r="B12" s="23" t="n"/>
      <c r="C12" s="23" t="n"/>
      <c r="D12" s="23" t="n"/>
      <c r="E12" s="24" t="n"/>
      <c r="F12" s="163" t="n">
        <v>8</v>
      </c>
      <c r="G12" s="26" t="inlineStr">
        <is>
          <t>87643241715</t>
        </is>
      </c>
      <c r="H12" s="27" t="inlineStr">
        <is>
          <t>YNE</t>
        </is>
      </c>
      <c r="I12" s="169" t="inlineStr">
        <is>
          <t>ヤマト</t>
        </is>
      </c>
      <c r="J12" s="169" t="inlineStr">
        <is>
          <t>3U9831</t>
        </is>
      </c>
      <c r="K12" s="36" t="inlineStr">
        <is>
          <t>2-Nov</t>
        </is>
      </c>
      <c r="L12" s="198" t="n">
        <v>350</v>
      </c>
      <c r="M12" s="33" t="inlineStr">
        <is>
          <t>11/2</t>
        </is>
      </c>
      <c r="N12" s="32" t="n">
        <v>0.9722222222222222</v>
      </c>
      <c r="X12" s="33" t="inlineStr">
        <is>
          <t>11/4</t>
        </is>
      </c>
      <c r="Y12" s="37" t="n">
        <v>0.9277777777777778</v>
      </c>
      <c r="Z12" s="23" t="n">
        <v>40</v>
      </c>
      <c r="AA12" s="23" t="n"/>
      <c r="AB12" s="23" t="n"/>
      <c r="AC12" s="23" t="n"/>
      <c r="AD12" s="23" t="n"/>
      <c r="AE12" s="23" t="n"/>
      <c r="AF12" s="34" t="n"/>
    </row>
    <row r="13" hidden="1" ht="42.75" customFormat="1" customHeight="1" s="35">
      <c r="A13" s="23" t="n"/>
      <c r="B13" s="23" t="n"/>
      <c r="C13" s="23" t="n"/>
      <c r="D13" s="23" t="n"/>
      <c r="E13" s="24" t="inlineStr">
        <is>
          <t>S</t>
        </is>
      </c>
      <c r="F13" s="23" t="n">
        <v>9</v>
      </c>
      <c r="G13" s="199" t="inlineStr">
        <is>
          <t>73198144771</t>
        </is>
      </c>
      <c r="H13" s="200" t="inlineStr">
        <is>
          <t>YNE</t>
        </is>
      </c>
      <c r="I13" s="40" t="inlineStr">
        <is>
          <t>ヤマト</t>
        </is>
      </c>
      <c r="J13" s="169" t="inlineStr">
        <is>
          <t>MF8707</t>
        </is>
      </c>
      <c r="K13" s="29" t="inlineStr">
        <is>
          <t>3-Nov</t>
        </is>
      </c>
      <c r="L13" s="201" t="n">
        <v>300</v>
      </c>
      <c r="M13" s="31" t="inlineStr">
        <is>
          <t>11/3</t>
        </is>
      </c>
      <c r="N13" s="32" t="n">
        <v>0.7479166666666667</v>
      </c>
      <c r="X13" s="33" t="inlineStr">
        <is>
          <t>11/3</t>
        </is>
      </c>
      <c r="Y13" s="37" t="n">
        <v>0.9923611111111111</v>
      </c>
      <c r="Z13" s="23" t="inlineStr">
        <is>
          <t>15 / 27</t>
        </is>
      </c>
      <c r="AA13" s="23" t="n"/>
      <c r="AB13" s="23" t="inlineStr">
        <is>
          <t>✓</t>
        </is>
      </c>
      <c r="AC13" s="23" t="inlineStr">
        <is>
          <t>✓</t>
        </is>
      </c>
      <c r="AD13" s="23" t="inlineStr">
        <is>
          <t>✓</t>
        </is>
      </c>
      <c r="AE13" s="23" t="inlineStr">
        <is>
          <t>✓</t>
        </is>
      </c>
      <c r="AF13" s="34" t="n"/>
    </row>
    <row r="14" hidden="1" ht="42.75" customFormat="1" customHeight="1" s="35">
      <c r="A14" s="23" t="n"/>
      <c r="B14" s="23" t="n"/>
      <c r="C14" s="23" t="n"/>
      <c r="D14" s="23" t="n"/>
      <c r="E14" s="24" t="n"/>
      <c r="F14" s="202" t="n"/>
      <c r="G14" s="203" t="n"/>
      <c r="H14" s="204" t="n"/>
      <c r="I14" s="202" t="n"/>
      <c r="J14" s="169" t="n"/>
      <c r="K14" s="29" t="n"/>
      <c r="L14" s="198" t="n">
        <v>237</v>
      </c>
      <c r="M14" s="31" t="inlineStr">
        <is>
          <t>11/4</t>
        </is>
      </c>
      <c r="N14" s="32" t="n">
        <v>0.7465277777777778</v>
      </c>
      <c r="X14" s="33" t="inlineStr">
        <is>
          <t>11/5</t>
        </is>
      </c>
      <c r="Y14" s="37" t="n">
        <v>0.01805555555555555</v>
      </c>
      <c r="Z14" s="23" t="n">
        <v>12</v>
      </c>
      <c r="AA14" s="23" t="n"/>
      <c r="AB14" s="23" t="n"/>
      <c r="AC14" s="23" t="n"/>
      <c r="AD14" s="23" t="n"/>
      <c r="AE14" s="23" t="n"/>
      <c r="AF14" s="34" t="n"/>
    </row>
    <row r="15" hidden="1" ht="42.75" customFormat="1" customHeight="1" s="35">
      <c r="A15" s="23" t="n"/>
      <c r="B15" s="23" t="n"/>
      <c r="C15" s="23" t="n"/>
      <c r="D15" s="23" t="n"/>
      <c r="E15" s="24" t="n"/>
      <c r="F15" s="163" t="n">
        <v>10</v>
      </c>
      <c r="G15" s="26" t="inlineStr">
        <is>
          <t>92149451640</t>
        </is>
      </c>
      <c r="H15" s="27" t="inlineStr">
        <is>
          <t>NY</t>
        </is>
      </c>
      <c r="I15" s="169" t="inlineStr">
        <is>
          <t>ヤマト / ネコポス</t>
        </is>
      </c>
      <c r="J15" s="169" t="inlineStr">
        <is>
          <t>O30277</t>
        </is>
      </c>
      <c r="K15" s="36" t="inlineStr">
        <is>
          <t>3-Nov</t>
        </is>
      </c>
      <c r="L15" s="198" t="n">
        <v>778</v>
      </c>
      <c r="M15" s="33" t="inlineStr">
        <is>
          <t>11/3</t>
        </is>
      </c>
      <c r="N15" s="32" t="n">
        <v>0.5416666666666666</v>
      </c>
      <c r="X15" s="33" t="n"/>
      <c r="Y15" s="23" t="n"/>
      <c r="Z15" s="23" t="n">
        <v>54</v>
      </c>
      <c r="AA15" s="23" t="n"/>
      <c r="AB15" s="23" t="n"/>
      <c r="AC15" s="23" t="n"/>
      <c r="AD15" s="23" t="n"/>
      <c r="AE15" s="23" t="n"/>
      <c r="AF15" s="34" t="n"/>
    </row>
    <row r="16" hidden="1" ht="42.75" customFormat="1" customHeight="1" s="35">
      <c r="A16" s="23" t="n"/>
      <c r="B16" s="23" t="n"/>
      <c r="C16" s="23" t="n"/>
      <c r="D16" s="23" t="n"/>
      <c r="E16" s="24" t="n"/>
      <c r="F16" s="163" t="n">
        <v>11</v>
      </c>
      <c r="G16" s="26" t="inlineStr">
        <is>
          <t>92149451883</t>
        </is>
      </c>
      <c r="H16" s="27" t="inlineStr">
        <is>
          <t>NY</t>
        </is>
      </c>
      <c r="I16" s="169" t="inlineStr">
        <is>
          <t>ヤマト / ネコポス</t>
        </is>
      </c>
      <c r="J16" s="169" t="inlineStr">
        <is>
          <t>O30277</t>
        </is>
      </c>
      <c r="K16" s="36" t="inlineStr">
        <is>
          <t>3-Nov</t>
        </is>
      </c>
      <c r="L16" s="198" t="n">
        <v>1772</v>
      </c>
      <c r="M16" s="33" t="inlineStr">
        <is>
          <t>11/3</t>
        </is>
      </c>
      <c r="N16" s="32" t="n">
        <v>0.5416666666666666</v>
      </c>
      <c r="X16" s="33" t="n"/>
      <c r="Y16" s="23" t="n"/>
      <c r="Z16" s="23" t="n">
        <v>139</v>
      </c>
      <c r="AA16" s="23" t="n"/>
      <c r="AB16" s="23" t="n"/>
      <c r="AC16" s="23" t="n"/>
      <c r="AD16" s="23" t="n"/>
      <c r="AE16" s="23" t="n"/>
      <c r="AF16" s="34" t="n"/>
    </row>
    <row r="17" hidden="1" ht="42.75" customFormat="1" customHeight="1" s="35">
      <c r="A17" s="23" t="n"/>
      <c r="B17" s="23" t="n"/>
      <c r="C17" s="23" t="n"/>
      <c r="D17" s="23" t="n"/>
      <c r="E17" s="24" t="inlineStr">
        <is>
          <t>S</t>
        </is>
      </c>
      <c r="F17" s="23" t="n">
        <v>12</v>
      </c>
      <c r="G17" s="199" t="inlineStr">
        <is>
          <t>73198537320</t>
        </is>
      </c>
      <c r="H17" s="200" t="inlineStr">
        <is>
          <t>NY</t>
        </is>
      </c>
      <c r="I17" s="40" t="inlineStr">
        <is>
          <t>ヤマト / ネコポス</t>
        </is>
      </c>
      <c r="J17" s="169" t="inlineStr">
        <is>
          <t>MF0839</t>
        </is>
      </c>
      <c r="K17" s="36" t="inlineStr">
        <is>
          <t>3-Nov</t>
        </is>
      </c>
      <c r="L17" s="201" t="n">
        <v>514</v>
      </c>
      <c r="M17" s="33" t="inlineStr">
        <is>
          <t>11/3</t>
        </is>
      </c>
      <c r="N17" s="32" t="n">
        <v>0.74375</v>
      </c>
      <c r="X17" s="33" t="inlineStr">
        <is>
          <t>11/3</t>
        </is>
      </c>
      <c r="Y17" s="37" t="n">
        <v>0.9895833333333334</v>
      </c>
      <c r="Z17" s="23" t="inlineStr">
        <is>
          <t>28 / 55</t>
        </is>
      </c>
      <c r="AA17" s="23" t="n"/>
      <c r="AB17" s="23" t="inlineStr">
        <is>
          <t>✓</t>
        </is>
      </c>
      <c r="AC17" s="23" t="inlineStr">
        <is>
          <t>✓</t>
        </is>
      </c>
      <c r="AD17" s="23" t="inlineStr">
        <is>
          <t>✓</t>
        </is>
      </c>
      <c r="AE17" s="23" t="inlineStr">
        <is>
          <t>✓</t>
        </is>
      </c>
      <c r="AF17" s="34" t="n"/>
    </row>
    <row r="18" hidden="1" ht="42.75" customFormat="1" customHeight="1" s="35">
      <c r="A18" s="23" t="n"/>
      <c r="B18" s="23" t="n"/>
      <c r="C18" s="23" t="n"/>
      <c r="D18" s="23" t="n"/>
      <c r="E18" s="24" t="n"/>
      <c r="F18" s="202" t="n"/>
      <c r="G18" s="203" t="n"/>
      <c r="H18" s="204" t="n"/>
      <c r="I18" s="202" t="n"/>
      <c r="J18" s="169" t="n"/>
      <c r="K18" s="36" t="n"/>
      <c r="L18" s="198" t="n">
        <v>700</v>
      </c>
      <c r="M18" s="33" t="inlineStr">
        <is>
          <t>11/4</t>
        </is>
      </c>
      <c r="N18" s="32" t="n">
        <v>0.7319444444444444</v>
      </c>
      <c r="X18" s="33" t="inlineStr">
        <is>
          <t>11/5</t>
        </is>
      </c>
      <c r="Y18" s="37" t="n">
        <v>0.08263888888888889</v>
      </c>
      <c r="Z18" s="39" t="n">
        <v>27</v>
      </c>
      <c r="AA18" s="23" t="n"/>
      <c r="AB18" s="23" t="n"/>
      <c r="AC18" s="23" t="n"/>
      <c r="AD18" s="23" t="n"/>
      <c r="AE18" s="23" t="n"/>
      <c r="AF18" s="34" t="n"/>
    </row>
    <row r="19" hidden="1" ht="42.75" customFormat="1" customHeight="1" s="35">
      <c r="A19" s="23" t="n"/>
      <c r="B19" s="23" t="n"/>
      <c r="C19" s="23" t="n"/>
      <c r="D19" s="23" t="n"/>
      <c r="E19" s="24" t="n"/>
      <c r="F19" s="163" t="n">
        <v>13</v>
      </c>
      <c r="G19" s="26" t="inlineStr">
        <is>
          <t>78441581956</t>
        </is>
      </c>
      <c r="H19" s="27" t="inlineStr">
        <is>
          <t>CNE</t>
        </is>
      </c>
      <c r="I19" s="169" t="inlineStr">
        <is>
          <t>ヤマト</t>
        </is>
      </c>
      <c r="J19" s="169" t="inlineStr">
        <is>
          <t>CZ8105</t>
        </is>
      </c>
      <c r="K19" s="36" t="inlineStr">
        <is>
          <t>3-Nov</t>
        </is>
      </c>
      <c r="L19" s="198" t="n">
        <v>752</v>
      </c>
      <c r="M19" s="33" t="inlineStr">
        <is>
          <t>11/3</t>
        </is>
      </c>
      <c r="N19" s="32" t="n">
        <v>0.6465277777777778</v>
      </c>
      <c r="X19" s="33" t="inlineStr">
        <is>
          <t>11/4</t>
        </is>
      </c>
      <c r="Y19" s="37" t="n">
        <v>0.9180555555555555</v>
      </c>
      <c r="Z19" s="23" t="n">
        <v>24</v>
      </c>
      <c r="AA19" s="23" t="n"/>
      <c r="AB19" s="23" t="n"/>
      <c r="AC19" s="23" t="n"/>
      <c r="AD19" s="23" t="n"/>
      <c r="AE19" s="23" t="n"/>
      <c r="AF19" s="34" t="n"/>
    </row>
    <row r="20" hidden="1" ht="42.75" customFormat="1" customHeight="1" s="35">
      <c r="A20" s="23" t="n"/>
      <c r="B20" s="23" t="n"/>
      <c r="C20" s="23" t="n"/>
      <c r="D20" s="23" t="n"/>
      <c r="E20" s="24" t="n"/>
      <c r="F20" s="163" t="n">
        <v>14</v>
      </c>
      <c r="G20" s="26" t="inlineStr">
        <is>
          <t>90892086326</t>
        </is>
      </c>
      <c r="H20" s="27" t="inlineStr">
        <is>
          <t>YTO</t>
        </is>
      </c>
      <c r="I20" s="40" t="inlineStr">
        <is>
          <t>ヤマト /  佐川(683)</t>
        </is>
      </c>
      <c r="J20" s="169" t="inlineStr">
        <is>
          <t>GI4115</t>
        </is>
      </c>
      <c r="K20" s="36" t="inlineStr">
        <is>
          <t>5-Nov</t>
        </is>
      </c>
      <c r="L20" s="198" t="n">
        <v>708</v>
      </c>
      <c r="M20" s="33" t="inlineStr">
        <is>
          <t>11/5</t>
        </is>
      </c>
      <c r="N20" s="32" t="n">
        <v>0.2083333333333333</v>
      </c>
      <c r="X20" s="33" t="n"/>
      <c r="Y20" s="23" t="n"/>
      <c r="Z20" s="23" t="n">
        <v>22</v>
      </c>
      <c r="AA20" s="23" t="n"/>
      <c r="AB20" s="23" t="n"/>
      <c r="AC20" s="23" t="n"/>
      <c r="AD20" s="23" t="n"/>
      <c r="AE20" s="23" t="n"/>
      <c r="AF20" s="34" t="inlineStr">
        <is>
          <t>佐川あり</t>
        </is>
      </c>
    </row>
    <row r="21" hidden="1" ht="42.75" customFormat="1" customHeight="1" s="35">
      <c r="A21" s="23" t="n"/>
      <c r="B21" s="23" t="n"/>
      <c r="C21" s="23" t="n"/>
      <c r="D21" s="23" t="n"/>
      <c r="E21" s="24" t="n"/>
      <c r="F21" s="163" t="n">
        <v>15</v>
      </c>
      <c r="G21" s="26" t="inlineStr">
        <is>
          <t>92149452734</t>
        </is>
      </c>
      <c r="H21" s="27" t="inlineStr">
        <is>
          <t>NY</t>
        </is>
      </c>
      <c r="I21" s="169" t="inlineStr">
        <is>
          <t>ヤマト</t>
        </is>
      </c>
      <c r="J21" s="169" t="inlineStr">
        <is>
          <t>O30277</t>
        </is>
      </c>
      <c r="K21" s="36" t="inlineStr">
        <is>
          <t>3-Nov</t>
        </is>
      </c>
      <c r="L21" s="198" t="n">
        <v>47</v>
      </c>
      <c r="M21" s="33" t="inlineStr">
        <is>
          <t>11/3</t>
        </is>
      </c>
      <c r="N21" s="32" t="n">
        <v>0.5486111111111112</v>
      </c>
      <c r="X21" s="33" t="n"/>
      <c r="Y21" s="23" t="n"/>
      <c r="Z21" s="23" t="n">
        <v>4</v>
      </c>
      <c r="AA21" s="23" t="n"/>
      <c r="AB21" s="23" t="n"/>
      <c r="AC21" s="23" t="n"/>
      <c r="AD21" s="23" t="n"/>
      <c r="AE21" s="23" t="n"/>
      <c r="AF21" s="34" t="n"/>
    </row>
    <row r="22" hidden="1" ht="42.75" customFormat="1" customHeight="1" s="35">
      <c r="A22" s="23" t="n"/>
      <c r="B22" s="23" t="n"/>
      <c r="C22" s="23" t="n"/>
      <c r="D22" s="23" t="n"/>
      <c r="E22" s="24" t="n"/>
      <c r="F22" s="163" t="n">
        <v>16</v>
      </c>
      <c r="G22" s="26" t="inlineStr">
        <is>
          <t>92149766533</t>
        </is>
      </c>
      <c r="H22" s="27" t="inlineStr">
        <is>
          <t>YTO</t>
        </is>
      </c>
      <c r="I22" s="169" t="inlineStr">
        <is>
          <t>佐川</t>
        </is>
      </c>
      <c r="J22" s="169" t="inlineStr">
        <is>
          <t>O30277</t>
        </is>
      </c>
      <c r="K22" s="36" t="inlineStr">
        <is>
          <t>4-Nov</t>
        </is>
      </c>
      <c r="L22" s="198" t="n">
        <v>434</v>
      </c>
      <c r="M22" s="33" t="inlineStr">
        <is>
          <t>11/4</t>
        </is>
      </c>
      <c r="N22" s="32" t="n">
        <v>0.5486111111111112</v>
      </c>
      <c r="X22" s="33" t="n"/>
      <c r="Y22" s="23" t="n"/>
      <c r="Z22" s="23" t="n">
        <v>54</v>
      </c>
      <c r="AA22" s="23" t="n"/>
      <c r="AB22" s="23" t="n"/>
      <c r="AC22" s="23" t="n"/>
      <c r="AD22" s="23" t="n"/>
      <c r="AE22" s="23" t="n"/>
      <c r="AF22" s="34" t="inlineStr">
        <is>
          <t>佐川あり</t>
        </is>
      </c>
    </row>
    <row r="23" hidden="1" ht="42.75" customFormat="1" customHeight="1" s="35">
      <c r="A23" s="23" t="n"/>
      <c r="B23" s="23" t="n"/>
      <c r="C23" s="23" t="n"/>
      <c r="D23" s="23" t="n"/>
      <c r="E23" s="24" t="n"/>
      <c r="F23" s="163" t="n">
        <v>17</v>
      </c>
      <c r="G23" s="26" t="inlineStr">
        <is>
          <t>92149766301</t>
        </is>
      </c>
      <c r="H23" s="27" t="inlineStr">
        <is>
          <t>YTO</t>
        </is>
      </c>
      <c r="I23" s="169" t="inlineStr">
        <is>
          <t>佐川</t>
        </is>
      </c>
      <c r="J23" s="169" t="inlineStr">
        <is>
          <t>O30277</t>
        </is>
      </c>
      <c r="K23" s="36" t="inlineStr">
        <is>
          <t>3-Nov</t>
        </is>
      </c>
      <c r="L23" s="198" t="n">
        <v>173</v>
      </c>
      <c r="M23" s="33" t="inlineStr">
        <is>
          <t>11/3</t>
        </is>
      </c>
      <c r="N23" s="32" t="n">
        <v>0.5486111111111112</v>
      </c>
      <c r="X23" s="33" t="n"/>
      <c r="Y23" s="23" t="n"/>
      <c r="Z23" s="23" t="n">
        <v>22</v>
      </c>
      <c r="AA23" s="23" t="n"/>
      <c r="AB23" s="23" t="n"/>
      <c r="AC23" s="23" t="n"/>
      <c r="AD23" s="23" t="n"/>
      <c r="AE23" s="23" t="n"/>
      <c r="AF23" s="34" t="inlineStr">
        <is>
          <t>佐川あり</t>
        </is>
      </c>
    </row>
    <row r="24" hidden="1" ht="42.75" customFormat="1" customHeight="1" s="35">
      <c r="A24" s="23" t="n"/>
      <c r="B24" s="23" t="n"/>
      <c r="C24" s="23" t="n"/>
      <c r="D24" s="23" t="n"/>
      <c r="E24" s="24" t="n"/>
      <c r="F24" s="163" t="n">
        <v>18</v>
      </c>
      <c r="G24" s="26" t="inlineStr">
        <is>
          <t>89100129776</t>
        </is>
      </c>
      <c r="H24" s="27" t="inlineStr">
        <is>
          <t>YTO</t>
        </is>
      </c>
      <c r="I24" s="169" t="inlineStr">
        <is>
          <t>佐川</t>
        </is>
      </c>
      <c r="J24" s="169" t="inlineStr">
        <is>
          <t>GJ8077</t>
        </is>
      </c>
      <c r="K24" s="36" t="inlineStr">
        <is>
          <t>3-Nov</t>
        </is>
      </c>
      <c r="L24" s="198" t="n">
        <v>185</v>
      </c>
      <c r="M24" s="33" t="inlineStr">
        <is>
          <t>11/3</t>
        </is>
      </c>
      <c r="N24" s="32" t="n">
        <v>0.6979166666666666</v>
      </c>
      <c r="X24" s="33" t="n"/>
      <c r="Y24" s="23" t="n"/>
      <c r="Z24" s="23" t="n"/>
      <c r="AA24" s="23" t="n"/>
      <c r="AB24" s="23" t="n"/>
      <c r="AC24" s="23" t="n"/>
      <c r="AD24" s="23" t="n"/>
      <c r="AE24" s="23" t="n"/>
      <c r="AF24" s="34" t="inlineStr">
        <is>
          <t>佐川あり</t>
        </is>
      </c>
    </row>
    <row r="25" ht="42.75" customFormat="1" customHeight="1" s="52">
      <c r="A25" s="41" t="n"/>
      <c r="B25" s="41" t="n"/>
      <c r="C25" s="41" t="n"/>
      <c r="D25" s="41" t="n"/>
      <c r="E25" s="42" t="n"/>
      <c r="F25" s="171" t="n">
        <v>19</v>
      </c>
      <c r="G25" s="44" t="inlineStr">
        <is>
          <t>80422381730</t>
        </is>
      </c>
      <c r="H25" s="45" t="inlineStr">
        <is>
          <t>CAINIAO-E</t>
        </is>
      </c>
      <c r="I25" s="177" t="inlineStr">
        <is>
          <t>ヤマト</t>
        </is>
      </c>
      <c r="J25" s="177" t="inlineStr">
        <is>
          <t>CF0273</t>
        </is>
      </c>
      <c r="K25" s="47" t="inlineStr">
        <is>
          <t>3-Nov</t>
        </is>
      </c>
      <c r="L25" s="205" t="n">
        <v>1921</v>
      </c>
      <c r="M25" s="49" t="inlineStr">
        <is>
          <t>11/3</t>
        </is>
      </c>
      <c r="N25" s="50" t="n">
        <v>0.5</v>
      </c>
      <c r="O25" s="206" t="n">
        <v>1314</v>
      </c>
      <c r="P25" s="206" t="n">
        <v>263</v>
      </c>
      <c r="Q25" s="206" t="n">
        <v>1051</v>
      </c>
      <c r="R25" s="206" t="n">
        <v>9</v>
      </c>
      <c r="S25" s="206" t="n">
        <v>15</v>
      </c>
      <c r="T25" s="206" t="n">
        <v>13</v>
      </c>
      <c r="U25" s="206" t="n">
        <v>1</v>
      </c>
      <c r="V25" s="206" t="n">
        <v>4</v>
      </c>
      <c r="W25" s="206" t="n">
        <v>11</v>
      </c>
      <c r="X25" s="49" t="n"/>
      <c r="Y25" s="41" t="n"/>
      <c r="Z25" s="41" t="n"/>
      <c r="AA25" s="41" t="n"/>
      <c r="AB25" s="41" t="n"/>
      <c r="AC25" s="41" t="n"/>
      <c r="AD25" s="41" t="n"/>
      <c r="AE25" s="41" t="n"/>
      <c r="AF25" s="51" t="n"/>
    </row>
    <row r="26" ht="42.75" customFormat="1" customHeight="1" s="52">
      <c r="A26" s="41" t="n"/>
      <c r="B26" s="41" t="n"/>
      <c r="C26" s="41" t="n"/>
      <c r="D26" s="41" t="n"/>
      <c r="E26" s="42" t="n"/>
      <c r="F26" s="171" t="n">
        <v>20</v>
      </c>
      <c r="G26" s="44" t="inlineStr">
        <is>
          <t>16098057632</t>
        </is>
      </c>
      <c r="H26" s="45" t="inlineStr">
        <is>
          <t>CAINIAO-E</t>
        </is>
      </c>
      <c r="I26" s="177" t="inlineStr">
        <is>
          <t>ヤマト</t>
        </is>
      </c>
      <c r="J26" s="177" t="inlineStr">
        <is>
          <t>CX0961</t>
        </is>
      </c>
      <c r="K26" s="47" t="inlineStr">
        <is>
          <t>3-Nov</t>
        </is>
      </c>
      <c r="L26" s="205" t="n">
        <v>1073</v>
      </c>
      <c r="M26" s="49" t="inlineStr">
        <is>
          <t>11/3</t>
        </is>
      </c>
      <c r="N26" s="50" t="n">
        <v>0.7743055555555556</v>
      </c>
      <c r="O26" s="206" t="n">
        <v>672</v>
      </c>
      <c r="P26" s="206" t="n">
        <v>241</v>
      </c>
      <c r="Q26" s="206" t="n">
        <v>431</v>
      </c>
      <c r="R26" s="206" t="n">
        <v>24</v>
      </c>
      <c r="S26" s="206" t="n">
        <v>24</v>
      </c>
      <c r="T26" s="206" t="n">
        <v>17</v>
      </c>
      <c r="U26" s="206" t="n">
        <v>3</v>
      </c>
      <c r="V26" s="206" t="n">
        <v>10</v>
      </c>
      <c r="W26" s="206" t="n">
        <v>15</v>
      </c>
      <c r="X26" s="49" t="n"/>
      <c r="Y26" s="41" t="n"/>
      <c r="Z26" s="41" t="n"/>
      <c r="AA26" s="41" t="n"/>
      <c r="AB26" s="41" t="n"/>
      <c r="AC26" s="41" t="n"/>
      <c r="AD26" s="41" t="n"/>
      <c r="AE26" s="41" t="n"/>
      <c r="AF26" s="51" t="n"/>
    </row>
    <row r="27" ht="42.75" customFormat="1" customHeight="1" s="52">
      <c r="A27" s="41" t="n"/>
      <c r="B27" s="41" t="n"/>
      <c r="C27" s="41" t="n"/>
      <c r="D27" s="41" t="n"/>
      <c r="E27" s="42" t="n"/>
      <c r="F27" s="171" t="n">
        <v>21</v>
      </c>
      <c r="G27" s="44" t="inlineStr">
        <is>
          <t>16003472420</t>
        </is>
      </c>
      <c r="H27" s="45" t="inlineStr">
        <is>
          <t>CAINIAO-E</t>
        </is>
      </c>
      <c r="I27" s="177" t="inlineStr">
        <is>
          <t>ヤマト</t>
        </is>
      </c>
      <c r="J27" s="177" t="inlineStr">
        <is>
          <t>CX0961</t>
        </is>
      </c>
      <c r="K27" s="47" t="inlineStr">
        <is>
          <t>3-Nov</t>
        </is>
      </c>
      <c r="L27" s="205" t="n">
        <v>909</v>
      </c>
      <c r="M27" s="49" t="inlineStr">
        <is>
          <t>11/3</t>
        </is>
      </c>
      <c r="N27" s="50" t="n">
        <v>0.7743055555555556</v>
      </c>
      <c r="O27" s="206" t="n">
        <v>597</v>
      </c>
      <c r="P27" s="206" t="n">
        <v>145</v>
      </c>
      <c r="Q27" s="206" t="n">
        <v>452</v>
      </c>
      <c r="R27" s="206" t="n">
        <v>5</v>
      </c>
      <c r="S27" s="206" t="n">
        <v>11</v>
      </c>
      <c r="T27" s="206" t="n">
        <v>9</v>
      </c>
      <c r="U27" s="206" t="n">
        <v>0</v>
      </c>
      <c r="V27" s="206" t="n">
        <v>4</v>
      </c>
      <c r="W27" s="206" t="n">
        <v>6</v>
      </c>
      <c r="X27" s="49" t="n"/>
      <c r="Y27" s="41" t="n"/>
      <c r="Z27" s="41" t="n"/>
      <c r="AA27" s="41" t="n"/>
      <c r="AB27" s="41" t="n"/>
      <c r="AC27" s="41" t="n"/>
      <c r="AD27" s="41" t="n"/>
      <c r="AE27" s="41" t="n"/>
      <c r="AF27" s="51" t="n"/>
    </row>
    <row r="28" ht="42.75" customFormat="1" customHeight="1" s="35">
      <c r="A28" s="41" t="n"/>
      <c r="B28" s="41" t="n"/>
      <c r="C28" s="41" t="n"/>
      <c r="D28" s="41" t="n"/>
      <c r="E28" s="42" t="n"/>
      <c r="F28" s="171" t="n">
        <v>22</v>
      </c>
      <c r="G28" s="44" t="inlineStr">
        <is>
          <t>08901343381</t>
        </is>
      </c>
      <c r="H28" s="45" t="inlineStr">
        <is>
          <t>CAINIAO-E</t>
        </is>
      </c>
      <c r="I28" s="177" t="inlineStr">
        <is>
          <t>ヤマト</t>
        </is>
      </c>
      <c r="J28" s="177" t="inlineStr">
        <is>
          <t>9C6603</t>
        </is>
      </c>
      <c r="K28" s="47" t="inlineStr">
        <is>
          <t>4-Nov</t>
        </is>
      </c>
      <c r="L28" s="205" t="n">
        <v>1258</v>
      </c>
      <c r="M28" s="49" t="inlineStr">
        <is>
          <t>11/4</t>
        </is>
      </c>
      <c r="N28" s="50" t="n">
        <v>0.6979166666666666</v>
      </c>
      <c r="O28" s="206" t="n">
        <v>525</v>
      </c>
      <c r="P28" s="206" t="n">
        <v>239</v>
      </c>
      <c r="Q28" s="206" t="n">
        <v>286</v>
      </c>
      <c r="R28" s="206" t="n">
        <v>20</v>
      </c>
      <c r="S28" s="206" t="n">
        <v>32</v>
      </c>
      <c r="T28" s="206" t="n">
        <v>29</v>
      </c>
      <c r="U28" s="206" t="n">
        <v>9</v>
      </c>
      <c r="V28" s="206" t="n">
        <v>13</v>
      </c>
      <c r="W28" s="206" t="n">
        <v>23</v>
      </c>
      <c r="X28" s="49" t="inlineStr">
        <is>
          <t>11/5</t>
        </is>
      </c>
      <c r="Y28" s="53" t="n">
        <v>0.09583333333333334</v>
      </c>
      <c r="Z28" s="41" t="n">
        <v>33</v>
      </c>
      <c r="AA28" s="41" t="n"/>
      <c r="AB28" s="41" t="n"/>
      <c r="AC28" s="41" t="n"/>
      <c r="AD28" s="41" t="n"/>
      <c r="AE28" s="41" t="n"/>
      <c r="AF28" s="51" t="n"/>
    </row>
    <row r="29" ht="42.75" customFormat="1" customHeight="1" s="35">
      <c r="A29" s="54" t="n"/>
      <c r="B29" s="54" t="n"/>
      <c r="C29" s="54" t="n"/>
      <c r="D29" s="54" t="n"/>
      <c r="E29" s="55" t="n"/>
      <c r="F29" s="56" t="n">
        <v>23</v>
      </c>
      <c r="G29" s="57" t="inlineStr">
        <is>
          <t>29771199435</t>
        </is>
      </c>
      <c r="H29" s="58" t="inlineStr">
        <is>
          <t>TEMU</t>
        </is>
      </c>
      <c r="I29" s="59" t="inlineStr">
        <is>
          <t>エスポ便</t>
        </is>
      </c>
      <c r="J29" s="59" t="inlineStr">
        <is>
          <t>CI5836</t>
        </is>
      </c>
      <c r="K29" s="60" t="inlineStr">
        <is>
          <t>4-Nov</t>
        </is>
      </c>
      <c r="L29" s="207" t="n">
        <v>474</v>
      </c>
      <c r="M29" s="62" t="inlineStr">
        <is>
          <t>11/4</t>
        </is>
      </c>
      <c r="N29" s="63" t="n">
        <v>0.5347222222222222</v>
      </c>
      <c r="O29" s="206" t="n">
        <v>474</v>
      </c>
      <c r="P29" s="206" t="n">
        <v>34</v>
      </c>
      <c r="Q29" s="206" t="n">
        <v>440</v>
      </c>
      <c r="R29" s="206" t="n">
        <v>0</v>
      </c>
      <c r="S29" s="206" t="n">
        <v>0</v>
      </c>
      <c r="T29" s="206" t="n">
        <v>0</v>
      </c>
      <c r="U29" s="206" t="n">
        <v>0</v>
      </c>
      <c r="V29" s="206" t="n">
        <v>0</v>
      </c>
      <c r="W29" s="206" t="n">
        <v>34</v>
      </c>
      <c r="X29" s="62" t="inlineStr">
        <is>
          <t>11/5</t>
        </is>
      </c>
      <c r="Y29" s="64" t="n">
        <v>0.05416666666666667</v>
      </c>
      <c r="Z29" s="54" t="n">
        <v>29</v>
      </c>
      <c r="AA29" s="54" t="n"/>
      <c r="AB29" s="54" t="n"/>
      <c r="AC29" s="54" t="n"/>
      <c r="AD29" s="54" t="n"/>
      <c r="AE29" s="54" t="n"/>
      <c r="AF29" s="65" t="inlineStr">
        <is>
          <t xml:space="preserve">最後処理[20時まで] </t>
        </is>
      </c>
    </row>
    <row r="30" hidden="1" ht="42.75" customFormat="1" customHeight="1" s="35">
      <c r="A30" s="23" t="n"/>
      <c r="B30" s="23" t="n"/>
      <c r="C30" s="23" t="n"/>
      <c r="D30" s="23" t="n"/>
      <c r="E30" s="24" t="n"/>
      <c r="F30" s="163" t="n">
        <v>24</v>
      </c>
      <c r="G30" s="26" t="inlineStr">
        <is>
          <t>73198513380</t>
        </is>
      </c>
      <c r="H30" s="27" t="inlineStr">
        <is>
          <t>YTO</t>
        </is>
      </c>
      <c r="I30" s="40" t="inlineStr">
        <is>
          <t>ヤマト / ネコポス / 佐川(59)</t>
        </is>
      </c>
      <c r="J30" s="169" t="inlineStr">
        <is>
          <t>MF0839</t>
        </is>
      </c>
      <c r="K30" s="36" t="inlineStr">
        <is>
          <t>3-Nov</t>
        </is>
      </c>
      <c r="L30" s="198" t="n">
        <v>593</v>
      </c>
      <c r="M30" s="33" t="inlineStr">
        <is>
          <t>11/3</t>
        </is>
      </c>
      <c r="N30" s="32" t="n">
        <v>0.7465277777777778</v>
      </c>
      <c r="X30" s="33" t="inlineStr">
        <is>
          <t>11/5</t>
        </is>
      </c>
      <c r="Y30" s="37" t="n">
        <v>0.07361111111111111</v>
      </c>
      <c r="Z30" s="23" t="n">
        <v>20</v>
      </c>
      <c r="AA30" s="23" t="n"/>
      <c r="AB30" s="23" t="n"/>
      <c r="AC30" s="23" t="n"/>
      <c r="AD30" s="23" t="n"/>
      <c r="AE30" s="23" t="n"/>
      <c r="AF30" s="34" t="inlineStr">
        <is>
          <t>佐川あり</t>
        </is>
      </c>
    </row>
    <row r="31" hidden="1" ht="42.75" customFormat="1" customHeight="1" s="35">
      <c r="A31" s="23" t="n"/>
      <c r="B31" s="23" t="n"/>
      <c r="C31" s="23" t="n"/>
      <c r="D31" s="23" t="n"/>
      <c r="E31" s="24" t="inlineStr">
        <is>
          <t>S</t>
        </is>
      </c>
      <c r="F31" s="23" t="n">
        <v>25</v>
      </c>
      <c r="G31" s="199" t="inlineStr">
        <is>
          <t>92149451743</t>
        </is>
      </c>
      <c r="H31" s="200" t="inlineStr">
        <is>
          <t>NY</t>
        </is>
      </c>
      <c r="I31" s="40" t="inlineStr">
        <is>
          <t>ヤマト</t>
        </is>
      </c>
      <c r="J31" s="169" t="inlineStr">
        <is>
          <t>O30277</t>
        </is>
      </c>
      <c r="K31" s="36" t="inlineStr">
        <is>
          <t>3-Nov</t>
        </is>
      </c>
      <c r="L31" s="201" t="n">
        <v>310</v>
      </c>
      <c r="M31" s="33" t="inlineStr">
        <is>
          <t>11/3</t>
        </is>
      </c>
      <c r="N31" s="32" t="n">
        <v>0.5416666666666666</v>
      </c>
      <c r="X31" s="33" t="inlineStr">
        <is>
          <t>11/3</t>
        </is>
      </c>
      <c r="Y31" s="37" t="n">
        <v>0.9243055555555556</v>
      </c>
      <c r="Z31" s="23" t="inlineStr">
        <is>
          <t>23 / 36</t>
        </is>
      </c>
      <c r="AA31" s="23" t="n"/>
      <c r="AB31" s="23" t="inlineStr">
        <is>
          <t>✓</t>
        </is>
      </c>
      <c r="AC31" s="23" t="inlineStr">
        <is>
          <t>✓</t>
        </is>
      </c>
      <c r="AD31" s="23" t="inlineStr">
        <is>
          <t>✓</t>
        </is>
      </c>
      <c r="AE31" s="23" t="inlineStr">
        <is>
          <t>✓</t>
        </is>
      </c>
      <c r="AF31" s="34" t="n"/>
    </row>
    <row r="32" hidden="1" ht="42.75" customFormat="1" customHeight="1" s="35">
      <c r="A32" s="23" t="n"/>
      <c r="B32" s="23" t="n"/>
      <c r="C32" s="23" t="n"/>
      <c r="D32" s="23" t="n"/>
      <c r="E32" s="24" t="n"/>
      <c r="F32" s="202" t="n"/>
      <c r="G32" s="203" t="n"/>
      <c r="H32" s="204" t="n"/>
      <c r="I32" s="202" t="n"/>
      <c r="J32" s="169" t="n"/>
      <c r="K32" s="36" t="n"/>
      <c r="L32" s="198" t="n">
        <v>170</v>
      </c>
      <c r="M32" s="33" t="inlineStr">
        <is>
          <t>11/4</t>
        </is>
      </c>
      <c r="N32" s="32" t="n">
        <v>0.5534722222222223</v>
      </c>
      <c r="X32" s="33" t="n"/>
      <c r="Y32" s="23" t="n"/>
      <c r="Z32" s="23" t="n">
        <v>13</v>
      </c>
      <c r="AA32" s="23" t="n"/>
      <c r="AB32" s="23" t="n"/>
      <c r="AC32" s="23" t="n"/>
      <c r="AD32" s="23" t="n"/>
      <c r="AE32" s="23" t="n"/>
      <c r="AF32" s="34" t="n"/>
    </row>
    <row r="33" ht="42.75" customFormat="1" customHeight="1" s="35">
      <c r="A33" s="41" t="n"/>
      <c r="B33" s="41" t="n"/>
      <c r="C33" s="41" t="n"/>
      <c r="D33" s="41" t="n"/>
      <c r="E33" s="42" t="n"/>
      <c r="F33" s="41" t="n">
        <v>26</v>
      </c>
      <c r="G33" s="208" t="inlineStr">
        <is>
          <t>11239895531</t>
        </is>
      </c>
      <c r="H33" s="209" t="inlineStr">
        <is>
          <t>CAINIAO-E</t>
        </is>
      </c>
      <c r="I33" s="96" t="inlineStr">
        <is>
          <t>ヤマト</t>
        </is>
      </c>
      <c r="J33" s="177" t="inlineStr">
        <is>
          <t>MU0747</t>
        </is>
      </c>
      <c r="K33" s="47" t="inlineStr">
        <is>
          <t>4-Nov</t>
        </is>
      </c>
      <c r="L33" s="205" t="n">
        <v>970</v>
      </c>
      <c r="M33" s="49" t="inlineStr">
        <is>
          <t>11/4</t>
        </is>
      </c>
      <c r="N33" s="50" t="n">
        <v>0.6277777777777778</v>
      </c>
      <c r="O33" s="206" t="n">
        <v>730</v>
      </c>
      <c r="P33" s="206" t="n">
        <v>145</v>
      </c>
      <c r="Q33" s="206" t="n">
        <v>585</v>
      </c>
      <c r="R33" s="206" t="n">
        <v>3</v>
      </c>
      <c r="S33" s="206" t="n">
        <v>7</v>
      </c>
      <c r="T33" s="206" t="n">
        <v>1</v>
      </c>
      <c r="U33" s="206" t="n">
        <v>1</v>
      </c>
      <c r="V33" s="206" t="n">
        <v>2</v>
      </c>
      <c r="W33" s="206" t="n">
        <v>1</v>
      </c>
      <c r="X33" s="49" t="inlineStr">
        <is>
          <t>11/4</t>
        </is>
      </c>
      <c r="Y33" s="53" t="n">
        <v>0.7270833333333333</v>
      </c>
      <c r="Z33" s="41" t="inlineStr">
        <is>
          <t>18 / 39</t>
        </is>
      </c>
      <c r="AA33" s="41" t="n"/>
      <c r="AB33" s="41" t="n"/>
      <c r="AC33" s="41" t="n"/>
      <c r="AD33" s="41" t="n"/>
      <c r="AE33" s="41" t="n"/>
      <c r="AF33" s="51" t="n"/>
    </row>
    <row r="34" hidden="1" ht="42.75" customFormat="1" customHeight="1" s="35">
      <c r="A34" s="41" t="n"/>
      <c r="B34" s="41" t="n"/>
      <c r="C34" s="41" t="n"/>
      <c r="D34" s="41" t="n"/>
      <c r="E34" s="42" t="n"/>
      <c r="F34" s="202" t="n"/>
      <c r="G34" s="203" t="n"/>
      <c r="H34" s="204" t="n"/>
      <c r="I34" s="202" t="n"/>
      <c r="J34" s="177" t="n"/>
      <c r="K34" s="47" t="n"/>
      <c r="L34" s="205" t="n"/>
      <c r="M34" s="49" t="inlineStr">
        <is>
          <t>11/4</t>
        </is>
      </c>
      <c r="N34" s="50" t="n">
        <v>0.8736111111111111</v>
      </c>
      <c r="X34" s="49" t="inlineStr">
        <is>
          <t>11/4</t>
        </is>
      </c>
      <c r="Y34" s="53" t="n">
        <v>0.9555555555555556</v>
      </c>
      <c r="Z34" s="41" t="n">
        <v>21</v>
      </c>
      <c r="AA34" s="41" t="n"/>
      <c r="AB34" s="41" t="n"/>
      <c r="AC34" s="41" t="n"/>
      <c r="AD34" s="41" t="n"/>
      <c r="AE34" s="41" t="n"/>
      <c r="AF34" s="51" t="n"/>
    </row>
    <row r="35" ht="42.75" customFormat="1" customHeight="1" s="35">
      <c r="A35" s="41" t="n"/>
      <c r="B35" s="41" t="n"/>
      <c r="C35" s="41" t="n"/>
      <c r="D35" s="41" t="n"/>
      <c r="E35" s="42" t="n"/>
      <c r="F35" s="171" t="n">
        <v>27</v>
      </c>
      <c r="G35" s="44" t="inlineStr">
        <is>
          <t>40644225042</t>
        </is>
      </c>
      <c r="H35" s="45" t="inlineStr">
        <is>
          <t>CAINIAO-E</t>
        </is>
      </c>
      <c r="I35" s="177" t="inlineStr">
        <is>
          <t>ヤマト</t>
        </is>
      </c>
      <c r="J35" s="177" t="inlineStr">
        <is>
          <t>5X0105</t>
        </is>
      </c>
      <c r="K35" s="47" t="inlineStr">
        <is>
          <t>4-Nov</t>
        </is>
      </c>
      <c r="L35" s="205" t="n">
        <v>2452</v>
      </c>
      <c r="M35" s="49" t="inlineStr">
        <is>
          <t>11/4</t>
        </is>
      </c>
      <c r="N35" s="50" t="n">
        <v>0.8576388888888888</v>
      </c>
      <c r="O35" s="206" t="n">
        <v>955</v>
      </c>
      <c r="P35" s="206" t="n">
        <v>502</v>
      </c>
      <c r="Q35" s="206" t="n">
        <v>453</v>
      </c>
      <c r="R35" s="206" t="n">
        <v>52</v>
      </c>
      <c r="S35" s="206" t="n">
        <v>68</v>
      </c>
      <c r="T35" s="206" t="n">
        <v>30</v>
      </c>
      <c r="U35" s="206" t="n">
        <v>8</v>
      </c>
      <c r="V35" s="206" t="n">
        <v>33</v>
      </c>
      <c r="W35" s="206" t="n">
        <v>41</v>
      </c>
      <c r="X35" s="49" t="inlineStr">
        <is>
          <t>11/5</t>
        </is>
      </c>
      <c r="Y35" s="53" t="n">
        <v>0.2486111111111111</v>
      </c>
      <c r="Z35" s="41" t="n">
        <v>60</v>
      </c>
      <c r="AA35" s="41" t="n"/>
      <c r="AB35" s="41" t="n"/>
      <c r="AC35" s="41" t="n"/>
      <c r="AD35" s="41" t="n"/>
      <c r="AE35" s="41" t="n"/>
      <c r="AF35" s="51" t="n"/>
    </row>
    <row r="36" hidden="1" ht="42.75" customFormat="1" customHeight="1" s="35">
      <c r="A36" s="23" t="n"/>
      <c r="B36" s="23" t="n"/>
      <c r="C36" s="23" t="n"/>
      <c r="D36" s="23" t="n"/>
      <c r="E36" s="24" t="n"/>
      <c r="F36" s="163" t="n">
        <v>28</v>
      </c>
      <c r="G36" s="26" t="inlineStr">
        <is>
          <t>73198537331</t>
        </is>
      </c>
      <c r="H36" s="27" t="inlineStr">
        <is>
          <t>NY</t>
        </is>
      </c>
      <c r="I36" s="169" t="inlineStr">
        <is>
          <t>ヤマト / ネコポス</t>
        </is>
      </c>
      <c r="J36" s="169" t="inlineStr">
        <is>
          <t>MF0839</t>
        </is>
      </c>
      <c r="K36" s="36" t="inlineStr">
        <is>
          <t>3-Nov</t>
        </is>
      </c>
      <c r="L36" s="198" t="n">
        <v>939</v>
      </c>
      <c r="M36" s="33" t="inlineStr">
        <is>
          <t>11/3</t>
        </is>
      </c>
      <c r="N36" s="32" t="n">
        <v>0.7465277777777778</v>
      </c>
      <c r="X36" s="33" t="inlineStr">
        <is>
          <t>11/5</t>
        </is>
      </c>
      <c r="Y36" s="37" t="n">
        <v>0.07777777777777778</v>
      </c>
      <c r="Z36" s="23" t="n">
        <v>46</v>
      </c>
      <c r="AA36" s="23" t="n"/>
      <c r="AB36" s="23" t="n"/>
      <c r="AC36" s="23" t="n"/>
      <c r="AD36" s="23" t="n"/>
      <c r="AE36" s="23" t="n"/>
      <c r="AF36" s="34" t="n"/>
    </row>
    <row r="37" ht="42.75" customFormat="1" customHeight="1" s="35">
      <c r="A37" s="41" t="n"/>
      <c r="B37" s="41" t="n"/>
      <c r="C37" s="41" t="n"/>
      <c r="D37" s="41" t="n"/>
      <c r="E37" s="42" t="n"/>
      <c r="F37" s="171" t="n">
        <v>29</v>
      </c>
      <c r="G37" s="44" t="inlineStr">
        <is>
          <t>02399236340</t>
        </is>
      </c>
      <c r="H37" s="45" t="inlineStr">
        <is>
          <t>CAINIAO-E</t>
        </is>
      </c>
      <c r="I37" s="177" t="inlineStr">
        <is>
          <t>ヤマト</t>
        </is>
      </c>
      <c r="J37" s="177" t="inlineStr">
        <is>
          <t>FX5262</t>
        </is>
      </c>
      <c r="K37" s="47" t="inlineStr">
        <is>
          <t>4-Nov</t>
        </is>
      </c>
      <c r="L37" s="205" t="n">
        <v>1847</v>
      </c>
      <c r="M37" s="49" t="inlineStr">
        <is>
          <t>11/4</t>
        </is>
      </c>
      <c r="N37" s="50" t="n">
        <v>0.9965277777777778</v>
      </c>
      <c r="O37" s="206" t="n">
        <v>711</v>
      </c>
      <c r="P37" s="206" t="n">
        <v>386</v>
      </c>
      <c r="Q37" s="206" t="n">
        <v>325</v>
      </c>
      <c r="R37" s="206" t="n">
        <v>42</v>
      </c>
      <c r="S37" s="206" t="n">
        <v>61</v>
      </c>
      <c r="T37" s="206" t="n">
        <v>40</v>
      </c>
      <c r="U37" s="206" t="n">
        <v>6</v>
      </c>
      <c r="V37" s="206" t="n">
        <v>16</v>
      </c>
      <c r="W37" s="206" t="n">
        <v>42</v>
      </c>
      <c r="X37" s="49" t="inlineStr">
        <is>
          <t>11/5</t>
        </is>
      </c>
      <c r="Y37" s="53" t="n">
        <v>0.3368055555555556</v>
      </c>
      <c r="Z37" s="41" t="n">
        <v>57</v>
      </c>
      <c r="AA37" s="41" t="n"/>
      <c r="AB37" s="41" t="n"/>
      <c r="AC37" s="41" t="n"/>
      <c r="AD37" s="41" t="n"/>
      <c r="AE37" s="41" t="n"/>
      <c r="AF37" s="51" t="n"/>
    </row>
    <row r="38" ht="42.75" customFormat="1" customHeight="1" s="35">
      <c r="A38" s="41" t="n"/>
      <c r="B38" s="41" t="n"/>
      <c r="C38" s="41" t="n"/>
      <c r="D38" s="41" t="n"/>
      <c r="E38" s="42" t="n"/>
      <c r="F38" s="171" t="n">
        <v>30</v>
      </c>
      <c r="G38" s="44" t="inlineStr">
        <is>
          <t>02399135223</t>
        </is>
      </c>
      <c r="H38" s="45" t="inlineStr">
        <is>
          <t>CAINIAO-E</t>
        </is>
      </c>
      <c r="I38" s="177" t="inlineStr">
        <is>
          <t>ヤマト</t>
        </is>
      </c>
      <c r="J38" s="177" t="inlineStr">
        <is>
          <t>FX5262</t>
        </is>
      </c>
      <c r="K38" s="47" t="inlineStr">
        <is>
          <t>4-Nov</t>
        </is>
      </c>
      <c r="L38" s="205" t="n">
        <v>1525</v>
      </c>
      <c r="M38" s="49" t="inlineStr">
        <is>
          <t>11/4</t>
        </is>
      </c>
      <c r="N38" s="50" t="n">
        <v>0.9965277777777778</v>
      </c>
      <c r="O38" s="206" t="n">
        <v>623</v>
      </c>
      <c r="P38" s="206" t="n">
        <v>313</v>
      </c>
      <c r="Q38" s="206" t="n">
        <v>310</v>
      </c>
      <c r="R38" s="206" t="n">
        <v>34</v>
      </c>
      <c r="S38" s="206" t="n">
        <v>43</v>
      </c>
      <c r="T38" s="206" t="n">
        <v>34</v>
      </c>
      <c r="U38" s="206" t="n">
        <v>8</v>
      </c>
      <c r="V38" s="206" t="n">
        <v>22</v>
      </c>
      <c r="W38" s="206" t="n">
        <v>27</v>
      </c>
      <c r="X38" s="49" t="n"/>
      <c r="Y38" s="41" t="n"/>
      <c r="Z38" s="41" t="n">
        <v>50</v>
      </c>
      <c r="AA38" s="41" t="n"/>
      <c r="AB38" s="41" t="n"/>
      <c r="AC38" s="41" t="n"/>
      <c r="AD38" s="41" t="n"/>
      <c r="AE38" s="41" t="n"/>
      <c r="AF38" s="51" t="n"/>
    </row>
    <row r="39" ht="42.75" customFormat="1" customHeight="1" s="52">
      <c r="A39" s="41" t="n"/>
      <c r="B39" s="41" t="n"/>
      <c r="C39" s="41" t="n"/>
      <c r="D39" s="41" t="n"/>
      <c r="E39" s="42" t="n"/>
      <c r="F39" s="171" t="n">
        <v>31</v>
      </c>
      <c r="G39" s="44" t="inlineStr">
        <is>
          <t>40644225031</t>
        </is>
      </c>
      <c r="H39" s="45" t="inlineStr">
        <is>
          <t>CAINIAO-E</t>
        </is>
      </c>
      <c r="I39" s="177" t="inlineStr">
        <is>
          <t>ヤマト</t>
        </is>
      </c>
      <c r="J39" s="177" t="inlineStr">
        <is>
          <t>5X0105</t>
        </is>
      </c>
      <c r="K39" s="47" t="inlineStr">
        <is>
          <t>4-Nov</t>
        </is>
      </c>
      <c r="L39" s="205" t="n">
        <v>669</v>
      </c>
      <c r="M39" s="49" t="inlineStr">
        <is>
          <t>11/4</t>
        </is>
      </c>
      <c r="N39" s="50" t="n">
        <v>0.9236111111111112</v>
      </c>
      <c r="O39" s="206" t="n">
        <v>416</v>
      </c>
      <c r="P39" s="206" t="n">
        <v>108</v>
      </c>
      <c r="Q39" s="206" t="n">
        <v>308</v>
      </c>
      <c r="R39" s="206" t="n">
        <v>2</v>
      </c>
      <c r="S39" s="206" t="n">
        <v>8</v>
      </c>
      <c r="T39" s="206" t="n">
        <v>10</v>
      </c>
      <c r="U39" s="206" t="n">
        <v>0</v>
      </c>
      <c r="V39" s="206" t="n">
        <v>2</v>
      </c>
      <c r="W39" s="206" t="n">
        <v>4</v>
      </c>
      <c r="X39" s="49" t="inlineStr">
        <is>
          <t>11/5</t>
        </is>
      </c>
      <c r="Y39" s="53" t="n">
        <v>0.1611111111111111</v>
      </c>
      <c r="Z39" s="41" t="n">
        <v>20</v>
      </c>
      <c r="AA39" s="41" t="n"/>
      <c r="AB39" s="41" t="n"/>
      <c r="AC39" s="41" t="n"/>
      <c r="AD39" s="41" t="n"/>
      <c r="AE39" s="41" t="n"/>
      <c r="AF39" s="51" t="n"/>
    </row>
    <row r="40" ht="42.75" customFormat="1" customHeight="1" s="52">
      <c r="A40" s="41" t="n"/>
      <c r="B40" s="41" t="n"/>
      <c r="C40" s="41" t="n"/>
      <c r="D40" s="41" t="n"/>
      <c r="E40" s="42" t="n"/>
      <c r="F40" s="171" t="n">
        <v>32</v>
      </c>
      <c r="G40" s="44" t="inlineStr">
        <is>
          <t>78481571626</t>
        </is>
      </c>
      <c r="H40" s="45" t="inlineStr">
        <is>
          <t>CAINIAO-E</t>
        </is>
      </c>
      <c r="I40" s="177" t="inlineStr">
        <is>
          <t>ヤマト</t>
        </is>
      </c>
      <c r="J40" s="177" t="inlineStr">
        <is>
          <t>CZ0389</t>
        </is>
      </c>
      <c r="K40" s="47" t="inlineStr">
        <is>
          <t>4-Nov</t>
        </is>
      </c>
      <c r="L40" s="205" t="n">
        <v>1395</v>
      </c>
      <c r="M40" s="49" t="inlineStr">
        <is>
          <t>11/4</t>
        </is>
      </c>
      <c r="N40" s="50" t="n">
        <v>0.5895833333333333</v>
      </c>
      <c r="O40" s="206" t="n">
        <v>602</v>
      </c>
      <c r="P40" s="206" t="n">
        <v>248</v>
      </c>
      <c r="Q40" s="206" t="n">
        <v>354</v>
      </c>
      <c r="R40" s="206" t="n">
        <v>21</v>
      </c>
      <c r="S40" s="206" t="n">
        <v>29</v>
      </c>
      <c r="T40" s="206" t="n">
        <v>24</v>
      </c>
      <c r="U40" s="206" t="n">
        <v>5</v>
      </c>
      <c r="V40" s="206" t="n">
        <v>16</v>
      </c>
      <c r="W40" s="206" t="n">
        <v>25</v>
      </c>
      <c r="X40" s="49" t="inlineStr">
        <is>
          <t>11/4</t>
        </is>
      </c>
      <c r="Y40" s="53" t="n">
        <v>0.8541666666666666</v>
      </c>
      <c r="Z40" s="41" t="n">
        <v>33</v>
      </c>
      <c r="AA40" s="41" t="n"/>
      <c r="AB40" s="41" t="n"/>
      <c r="AC40" s="41" t="n"/>
      <c r="AD40" s="41" t="n"/>
      <c r="AE40" s="41" t="n"/>
      <c r="AF40" s="51" t="n"/>
    </row>
    <row r="41" ht="42.75" customFormat="1" customHeight="1" s="78">
      <c r="A41" s="66" t="n"/>
      <c r="B41" s="66" t="n"/>
      <c r="C41" s="66" t="n"/>
      <c r="D41" s="66" t="n"/>
      <c r="E41" s="67" t="n"/>
      <c r="F41" s="68" t="n">
        <v>33</v>
      </c>
      <c r="G41" s="69" t="inlineStr">
        <is>
          <t>08901339660</t>
        </is>
      </c>
      <c r="H41" s="70" t="inlineStr">
        <is>
          <t>CNE</t>
        </is>
      </c>
      <c r="I41" s="71" t="inlineStr">
        <is>
          <t>ヤマト / ネコポス / エスポ便（27）</t>
        </is>
      </c>
      <c r="J41" s="71" t="inlineStr">
        <is>
          <t>9C6591</t>
        </is>
      </c>
      <c r="K41" s="72" t="inlineStr">
        <is>
          <t>4-Nov</t>
        </is>
      </c>
      <c r="L41" s="210" t="n">
        <v>658</v>
      </c>
      <c r="M41" s="74" t="inlineStr">
        <is>
          <t>11/4</t>
        </is>
      </c>
      <c r="N41" s="75" t="n">
        <v>0.7840277777777778</v>
      </c>
      <c r="O41" s="206" t="n">
        <v>26</v>
      </c>
      <c r="P41" s="206" t="n">
        <v>26</v>
      </c>
      <c r="Q41" s="206" t="n">
        <v>0</v>
      </c>
      <c r="R41" s="206" t="n">
        <v>0</v>
      </c>
      <c r="S41" s="206" t="n">
        <v>0</v>
      </c>
      <c r="T41" s="206" t="n">
        <v>0</v>
      </c>
      <c r="U41" s="206" t="n">
        <v>0</v>
      </c>
      <c r="V41" s="206" t="n">
        <v>0</v>
      </c>
      <c r="W41" s="206" t="n">
        <v>0</v>
      </c>
      <c r="X41" s="74" t="inlineStr">
        <is>
          <t>11/5</t>
        </is>
      </c>
      <c r="Y41" s="76" t="n">
        <v>0.08611111111111111</v>
      </c>
      <c r="Z41" s="66" t="n">
        <v>35</v>
      </c>
      <c r="AA41" s="66" t="n"/>
      <c r="AB41" s="66" t="n"/>
      <c r="AC41" s="66" t="n"/>
      <c r="AD41" s="66" t="n"/>
      <c r="AE41" s="66" t="n"/>
      <c r="AF41" s="77" t="n"/>
    </row>
    <row r="42" hidden="1" ht="42.75" customFormat="1" customHeight="1" s="35">
      <c r="A42" s="23" t="n"/>
      <c r="B42" s="23" t="n"/>
      <c r="C42" s="23" t="n"/>
      <c r="D42" s="23" t="n"/>
      <c r="E42" s="24" t="n"/>
      <c r="F42" s="163" t="n">
        <v>34</v>
      </c>
      <c r="G42" s="26" t="inlineStr">
        <is>
          <t>01892101063</t>
        </is>
      </c>
      <c r="H42" s="27" t="inlineStr">
        <is>
          <t>CNE</t>
        </is>
      </c>
      <c r="I42" s="169" t="inlineStr">
        <is>
          <t>ヤマト</t>
        </is>
      </c>
      <c r="J42" s="169" t="inlineStr">
        <is>
          <t>HO1571</t>
        </is>
      </c>
      <c r="K42" s="36" t="inlineStr">
        <is>
          <t>4-Nov</t>
        </is>
      </c>
      <c r="L42" s="198" t="n">
        <v>510</v>
      </c>
      <c r="M42" s="33" t="inlineStr">
        <is>
          <t>11/4</t>
        </is>
      </c>
      <c r="N42" s="32" t="n">
        <v>0.5840277777777778</v>
      </c>
      <c r="X42" s="33" t="n"/>
      <c r="Y42" s="23" t="n"/>
      <c r="Z42" s="23" t="n"/>
      <c r="AA42" s="23" t="n"/>
      <c r="AB42" s="23" t="n"/>
      <c r="AC42" s="23" t="n"/>
      <c r="AD42" s="23" t="n"/>
      <c r="AE42" s="23" t="n"/>
      <c r="AF42" s="34" t="n"/>
    </row>
    <row r="43" hidden="1" ht="42.75" customFormat="1" customHeight="1" s="35">
      <c r="A43" s="23" t="n"/>
      <c r="B43" s="23" t="n"/>
      <c r="C43" s="23" t="n"/>
      <c r="D43" s="23" t="n"/>
      <c r="E43" s="24" t="n"/>
      <c r="F43" s="163" t="n">
        <v>35</v>
      </c>
      <c r="G43" s="26" t="inlineStr">
        <is>
          <t>47936170481</t>
        </is>
      </c>
      <c r="H43" s="27" t="inlineStr">
        <is>
          <t>NY</t>
        </is>
      </c>
      <c r="I43" s="169" t="inlineStr">
        <is>
          <t>ヤマト</t>
        </is>
      </c>
      <c r="J43" s="169" t="inlineStr">
        <is>
          <t>ZH0661</t>
        </is>
      </c>
      <c r="K43" s="36" t="inlineStr">
        <is>
          <t>4-Nov</t>
        </is>
      </c>
      <c r="L43" s="198" t="n">
        <v>174</v>
      </c>
      <c r="M43" s="33" t="inlineStr">
        <is>
          <t>11/4</t>
        </is>
      </c>
      <c r="N43" s="32" t="n">
        <v>0.5868055555555556</v>
      </c>
      <c r="X43" s="33" t="inlineStr">
        <is>
          <t>11/4</t>
        </is>
      </c>
      <c r="Y43" s="37" t="n">
        <v>0.6423611111111112</v>
      </c>
      <c r="Z43" s="23" t="n">
        <v>10</v>
      </c>
      <c r="AA43" s="23" t="n"/>
      <c r="AB43" s="23" t="n"/>
      <c r="AC43" s="23" t="n"/>
      <c r="AD43" s="23" t="n"/>
      <c r="AE43" s="23" t="n"/>
      <c r="AF43" s="34" t="n"/>
    </row>
    <row r="44" hidden="1" ht="42.75" customFormat="1" customHeight="1" s="35">
      <c r="A44" s="23" t="n"/>
      <c r="B44" s="23" t="n"/>
      <c r="C44" s="23" t="n"/>
      <c r="D44" s="23" t="n"/>
      <c r="E44" s="24" t="n"/>
      <c r="F44" s="163" t="n">
        <v>36</v>
      </c>
      <c r="G44" s="26" t="inlineStr">
        <is>
          <t>92149452745</t>
        </is>
      </c>
      <c r="H44" s="27" t="inlineStr">
        <is>
          <t>NY</t>
        </is>
      </c>
      <c r="I44" s="169" t="inlineStr">
        <is>
          <t>ヤマト</t>
        </is>
      </c>
      <c r="J44" s="169" t="inlineStr">
        <is>
          <t>O30277</t>
        </is>
      </c>
      <c r="K44" s="36" t="inlineStr">
        <is>
          <t>4-Nov</t>
        </is>
      </c>
      <c r="L44" s="198" t="n">
        <v>44</v>
      </c>
      <c r="M44" s="33" t="inlineStr">
        <is>
          <t>11/4</t>
        </is>
      </c>
      <c r="N44" s="32" t="n">
        <v>0.5486111111111112</v>
      </c>
      <c r="X44" s="33" t="n"/>
      <c r="Y44" s="23" t="n"/>
      <c r="Z44" s="23" t="n">
        <v>4</v>
      </c>
      <c r="AA44" s="23" t="n"/>
      <c r="AB44" s="23" t="n"/>
      <c r="AC44" s="23" t="n"/>
      <c r="AD44" s="23" t="n"/>
      <c r="AE44" s="23" t="n"/>
      <c r="AF44" s="34" t="n"/>
    </row>
    <row r="45" hidden="1" ht="42.75" customFormat="1" customHeight="1" s="35">
      <c r="A45" s="23" t="n"/>
      <c r="B45" s="23" t="n"/>
      <c r="C45" s="23" t="n"/>
      <c r="D45" s="23" t="n"/>
      <c r="E45" s="24" t="n"/>
      <c r="F45" s="163" t="n">
        <v>37</v>
      </c>
      <c r="G45" s="26" t="inlineStr">
        <is>
          <t>47936182230</t>
        </is>
      </c>
      <c r="H45" s="27" t="inlineStr">
        <is>
          <t>NY</t>
        </is>
      </c>
      <c r="I45" s="169" t="inlineStr">
        <is>
          <t>ヤマト / ネコポス</t>
        </is>
      </c>
      <c r="J45" s="169" t="inlineStr">
        <is>
          <t>ZH0661</t>
        </is>
      </c>
      <c r="K45" s="36" t="inlineStr">
        <is>
          <t>4-Nov</t>
        </is>
      </c>
      <c r="L45" s="198" t="n">
        <v>449</v>
      </c>
      <c r="M45" s="33" t="inlineStr">
        <is>
          <t>11/4</t>
        </is>
      </c>
      <c r="N45" s="32" t="n">
        <v>0.5868055555555556</v>
      </c>
      <c r="X45" s="33" t="inlineStr">
        <is>
          <t>11/4</t>
        </is>
      </c>
      <c r="Y45" s="37" t="n">
        <v>0.6548611111111111</v>
      </c>
      <c r="Z45" s="23" t="n">
        <v>24</v>
      </c>
      <c r="AA45" s="23" t="n"/>
      <c r="AB45" s="23" t="n"/>
      <c r="AC45" s="23" t="n"/>
      <c r="AD45" s="23" t="n"/>
      <c r="AE45" s="23" t="n"/>
      <c r="AF45" s="34" t="n"/>
    </row>
    <row r="46" ht="42.75" customFormat="1" customHeight="1" s="90">
      <c r="A46" s="79" t="n"/>
      <c r="B46" s="79" t="n"/>
      <c r="C46" s="79" t="n"/>
      <c r="D46" s="79" t="n"/>
      <c r="E46" s="80" t="n"/>
      <c r="F46" s="81" t="n">
        <v>38</v>
      </c>
      <c r="G46" s="82" t="inlineStr">
        <is>
          <t>18043452916</t>
        </is>
      </c>
      <c r="H46" s="83" t="inlineStr">
        <is>
          <t>MMA-CN</t>
        </is>
      </c>
      <c r="I46" s="84" t="inlineStr">
        <is>
          <t>ヤマト</t>
        </is>
      </c>
      <c r="J46" s="84" t="inlineStr">
        <is>
          <t>KE0723</t>
        </is>
      </c>
      <c r="K46" s="85" t="inlineStr">
        <is>
          <t>5-Nov</t>
        </is>
      </c>
      <c r="L46" s="211" t="n">
        <v>2047</v>
      </c>
      <c r="M46" s="87" t="inlineStr">
        <is>
          <t>11/5</t>
        </is>
      </c>
      <c r="N46" s="88" t="n">
        <v>0.46875</v>
      </c>
      <c r="O46" s="206" t="n">
        <v>951</v>
      </c>
      <c r="P46" s="206" t="n">
        <v>242</v>
      </c>
      <c r="Q46" s="206" t="n">
        <v>709</v>
      </c>
      <c r="R46" s="206" t="n">
        <v>24</v>
      </c>
      <c r="S46" s="206" t="n">
        <v>14</v>
      </c>
      <c r="T46" s="206" t="n">
        <v>31</v>
      </c>
      <c r="U46" s="206" t="n">
        <v>6</v>
      </c>
      <c r="V46" s="206" t="n">
        <v>13</v>
      </c>
      <c r="W46" s="206" t="n">
        <v>30</v>
      </c>
      <c r="X46" s="87" t="n"/>
      <c r="Y46" s="79" t="n"/>
      <c r="Z46" s="79" t="n"/>
      <c r="AA46" s="79" t="n"/>
      <c r="AB46" s="79" t="n"/>
      <c r="AC46" s="79" t="n"/>
      <c r="AD46" s="79" t="n"/>
      <c r="AE46" s="79" t="n"/>
      <c r="AF46" s="89" t="n"/>
    </row>
    <row r="47" ht="42.75" customFormat="1" customHeight="1" s="90">
      <c r="A47" s="79" t="n"/>
      <c r="B47" s="79" t="n"/>
      <c r="C47" s="79" t="n"/>
      <c r="D47" s="79" t="n"/>
      <c r="E47" s="80" t="n"/>
      <c r="F47" s="81" t="n">
        <v>39</v>
      </c>
      <c r="G47" s="82" t="inlineStr">
        <is>
          <t>18043452920</t>
        </is>
      </c>
      <c r="H47" s="83" t="inlineStr">
        <is>
          <t>MMA-CN</t>
        </is>
      </c>
      <c r="I47" s="84" t="inlineStr">
        <is>
          <t>ヤマト</t>
        </is>
      </c>
      <c r="J47" s="84" t="inlineStr">
        <is>
          <t>KE0723</t>
        </is>
      </c>
      <c r="K47" s="85" t="inlineStr">
        <is>
          <t>5-Nov</t>
        </is>
      </c>
      <c r="L47" s="211" t="n">
        <v>2961</v>
      </c>
      <c r="M47" s="87" t="inlineStr">
        <is>
          <t>11/5</t>
        </is>
      </c>
      <c r="N47" s="88" t="n">
        <v>0.46875</v>
      </c>
      <c r="O47" s="206" t="n">
        <v>1156</v>
      </c>
      <c r="P47" s="206" t="n">
        <v>556</v>
      </c>
      <c r="Q47" s="206" t="n">
        <v>600</v>
      </c>
      <c r="R47" s="206" t="n">
        <v>46</v>
      </c>
      <c r="S47" s="206" t="n">
        <v>81</v>
      </c>
      <c r="T47" s="206" t="n">
        <v>67</v>
      </c>
      <c r="U47" s="206" t="n">
        <v>15</v>
      </c>
      <c r="V47" s="206" t="n">
        <v>28</v>
      </c>
      <c r="W47" s="206" t="n">
        <v>45</v>
      </c>
      <c r="X47" s="87" t="n"/>
      <c r="Y47" s="79" t="n"/>
      <c r="Z47" s="79" t="n"/>
      <c r="AA47" s="79" t="n"/>
      <c r="AB47" s="79" t="n"/>
      <c r="AC47" s="79" t="n"/>
      <c r="AD47" s="79" t="n"/>
      <c r="AE47" s="79" t="n"/>
      <c r="AF47" s="89" t="n"/>
    </row>
    <row r="48" hidden="1" ht="42.75" customFormat="1" customHeight="1" s="35">
      <c r="A48" s="23" t="n"/>
      <c r="B48" s="23" t="n"/>
      <c r="C48" s="23" t="n"/>
      <c r="D48" s="23" t="n"/>
      <c r="E48" s="24" t="n"/>
      <c r="F48" s="163" t="n">
        <v>40</v>
      </c>
      <c r="G48" s="26" t="inlineStr">
        <is>
          <t>73198562601</t>
        </is>
      </c>
      <c r="H48" s="27" t="inlineStr">
        <is>
          <t>RG</t>
        </is>
      </c>
      <c r="I48" s="40" t="inlineStr">
        <is>
          <t>ヤマト / ネコポス / 佐川(299)</t>
        </is>
      </c>
      <c r="J48" s="169" t="inlineStr">
        <is>
          <t>MF8653</t>
        </is>
      </c>
      <c r="K48" s="36" t="inlineStr">
        <is>
          <t>4-Nov</t>
        </is>
      </c>
      <c r="L48" s="198" t="n">
        <v>414</v>
      </c>
      <c r="M48" s="33" t="inlineStr">
        <is>
          <t>11/4</t>
        </is>
      </c>
      <c r="N48" s="32" t="n">
        <v>0.53125</v>
      </c>
      <c r="X48" s="33" t="inlineStr">
        <is>
          <t>11/4</t>
        </is>
      </c>
      <c r="Y48" s="37" t="n">
        <v>0.6833333333333333</v>
      </c>
      <c r="Z48" s="23" t="n">
        <v>111</v>
      </c>
      <c r="AA48" s="23" t="n"/>
      <c r="AB48" s="23" t="n"/>
      <c r="AC48" s="23" t="n"/>
      <c r="AD48" s="23" t="n"/>
      <c r="AE48" s="23" t="n"/>
      <c r="AF48" s="34" t="inlineStr">
        <is>
          <t>佐川あり</t>
        </is>
      </c>
    </row>
    <row r="49" hidden="1" ht="42.75" customFormat="1" customHeight="1" s="35">
      <c r="A49" s="23" t="n"/>
      <c r="B49" s="23" t="n"/>
      <c r="C49" s="23" t="n"/>
      <c r="D49" s="23" t="n"/>
      <c r="E49" s="24" t="n"/>
      <c r="F49" s="163" t="n">
        <v>41</v>
      </c>
      <c r="G49" s="26" t="inlineStr">
        <is>
          <t>72230142674</t>
        </is>
      </c>
      <c r="H49" s="27" t="inlineStr">
        <is>
          <t>RG</t>
        </is>
      </c>
      <c r="I49" s="169" t="inlineStr">
        <is>
          <t>ヤマト / 佐川（162）</t>
        </is>
      </c>
      <c r="J49" s="169" t="inlineStr">
        <is>
          <t>TW0303</t>
        </is>
      </c>
      <c r="K49" s="36" t="inlineStr">
        <is>
          <t>4-Nov</t>
        </is>
      </c>
      <c r="L49" s="198" t="n">
        <v>168</v>
      </c>
      <c r="M49" s="33" t="inlineStr">
        <is>
          <t>11/4</t>
        </is>
      </c>
      <c r="N49" s="32" t="n">
        <v>0.5736111111111111</v>
      </c>
      <c r="X49" s="33" t="n"/>
      <c r="Y49" s="23" t="n"/>
      <c r="Z49" s="23" t="n">
        <v>12</v>
      </c>
      <c r="AA49" s="23" t="n"/>
      <c r="AB49" s="23" t="n"/>
      <c r="AC49" s="23" t="n"/>
      <c r="AD49" s="23" t="n"/>
      <c r="AE49" s="23" t="n"/>
      <c r="AF49" s="34" t="inlineStr">
        <is>
          <t>佐川あり/佐川出荷止め</t>
        </is>
      </c>
    </row>
    <row r="50" hidden="1" ht="42.75" customFormat="1" customHeight="1" s="35">
      <c r="A50" s="23" t="n"/>
      <c r="B50" s="23" t="n"/>
      <c r="C50" s="23" t="n"/>
      <c r="D50" s="23" t="n"/>
      <c r="E50" s="24" t="n"/>
      <c r="F50" s="163" t="n">
        <v>42</v>
      </c>
      <c r="G50" s="26" t="inlineStr">
        <is>
          <t>18043444424</t>
        </is>
      </c>
      <c r="H50" s="27" t="inlineStr">
        <is>
          <t>NY</t>
        </is>
      </c>
      <c r="I50" s="169" t="inlineStr">
        <is>
          <t>ヤマト</t>
        </is>
      </c>
      <c r="J50" s="169" t="inlineStr">
        <is>
          <t>KE0553</t>
        </is>
      </c>
      <c r="K50" s="36" t="inlineStr">
        <is>
          <t>4-Nov</t>
        </is>
      </c>
      <c r="L50" s="198" t="n">
        <v>470</v>
      </c>
      <c r="M50" s="33" t="inlineStr">
        <is>
          <t>11/4</t>
        </is>
      </c>
      <c r="N50" s="32" t="n">
        <v>0.6756944444444445</v>
      </c>
      <c r="X50" s="33" t="inlineStr">
        <is>
          <t>11/4</t>
        </is>
      </c>
      <c r="Y50" s="37" t="n">
        <v>0.8583333333333333</v>
      </c>
      <c r="Z50" s="23" t="n">
        <v>9</v>
      </c>
      <c r="AA50" s="23" t="n"/>
      <c r="AB50" s="23" t="n"/>
      <c r="AC50" s="23" t="n"/>
      <c r="AD50" s="23" t="n"/>
      <c r="AE50" s="23" t="n"/>
      <c r="AF50" s="34" t="n"/>
    </row>
    <row r="51" hidden="1" ht="42.75" customFormat="1" customHeight="1" s="35">
      <c r="A51" s="23" t="n"/>
      <c r="B51" s="23" t="n"/>
      <c r="C51" s="23" t="n"/>
      <c r="D51" s="23" t="n"/>
      <c r="E51" s="24" t="n"/>
      <c r="F51" s="163" t="n">
        <v>43</v>
      </c>
      <c r="G51" s="26" t="inlineStr">
        <is>
          <t>90892086330</t>
        </is>
      </c>
      <c r="H51" s="27" t="inlineStr">
        <is>
          <t>YTO</t>
        </is>
      </c>
      <c r="I51" s="169" t="inlineStr">
        <is>
          <t>ヤマト / 佐川（710）</t>
        </is>
      </c>
      <c r="J51" s="169" t="inlineStr">
        <is>
          <t>GI4115</t>
        </is>
      </c>
      <c r="K51" s="36" t="inlineStr">
        <is>
          <t>6-Nov</t>
        </is>
      </c>
      <c r="L51" s="198" t="n">
        <v>741</v>
      </c>
      <c r="M51" s="33" t="inlineStr">
        <is>
          <t>11/6</t>
        </is>
      </c>
      <c r="N51" s="32" t="n">
        <v>0.2083333333333333</v>
      </c>
      <c r="X51" s="33" t="n"/>
      <c r="Y51" s="23" t="n"/>
      <c r="Z51" s="23" t="n"/>
      <c r="AA51" s="23" t="n"/>
      <c r="AB51" s="23" t="n"/>
      <c r="AC51" s="23" t="n"/>
      <c r="AD51" s="23" t="n"/>
      <c r="AE51" s="23" t="n"/>
      <c r="AF51" s="34" t="inlineStr">
        <is>
          <t>佐川あり</t>
        </is>
      </c>
    </row>
    <row r="52" hidden="1" ht="42.75" customFormat="1" customHeight="1" s="35">
      <c r="A52" s="23" t="n"/>
      <c r="B52" s="23" t="n"/>
      <c r="C52" s="23" t="n"/>
      <c r="D52" s="23" t="n"/>
      <c r="E52" s="24" t="n"/>
      <c r="F52" s="163" t="n">
        <v>44</v>
      </c>
      <c r="G52" s="26" t="inlineStr">
        <is>
          <t>32402886122</t>
        </is>
      </c>
      <c r="H52" s="27" t="inlineStr">
        <is>
          <t>YTO</t>
        </is>
      </c>
      <c r="I52" s="169" t="inlineStr">
        <is>
          <t>ネコポス / 佐川（204）</t>
        </is>
      </c>
      <c r="J52" s="169" t="inlineStr">
        <is>
          <t>SC4093</t>
        </is>
      </c>
      <c r="K52" s="36" t="inlineStr">
        <is>
          <t>4-Nov</t>
        </is>
      </c>
      <c r="L52" s="198" t="n">
        <v>350</v>
      </c>
      <c r="M52" s="33" t="inlineStr">
        <is>
          <t>11/4</t>
        </is>
      </c>
      <c r="N52" s="32" t="n">
        <v>0.6777777777777778</v>
      </c>
      <c r="X52" s="33" t="inlineStr">
        <is>
          <t>11/4</t>
        </is>
      </c>
      <c r="Y52" s="37" t="n">
        <v>0.7381944444444445</v>
      </c>
      <c r="Z52" s="23" t="n">
        <v>11</v>
      </c>
      <c r="AA52" s="23" t="n"/>
      <c r="AB52" s="23" t="n"/>
      <c r="AC52" s="23" t="n"/>
      <c r="AD52" s="23" t="n"/>
      <c r="AE52" s="23" t="n"/>
      <c r="AF52" s="34" t="inlineStr">
        <is>
          <t>佐川あり</t>
        </is>
      </c>
    </row>
    <row r="53" hidden="1" ht="42.75" customFormat="1" customHeight="1" s="35">
      <c r="A53" s="23" t="n"/>
      <c r="B53" s="23" t="n"/>
      <c r="C53" s="23" t="n"/>
      <c r="D53" s="23" t="n"/>
      <c r="E53" s="24" t="n"/>
      <c r="F53" s="163" t="n">
        <v>45</v>
      </c>
      <c r="G53" s="26" t="inlineStr">
        <is>
          <t>18043444435</t>
        </is>
      </c>
      <c r="H53" s="27" t="inlineStr">
        <is>
          <t>NY</t>
        </is>
      </c>
      <c r="I53" s="169" t="inlineStr">
        <is>
          <t>ヤマト</t>
        </is>
      </c>
      <c r="J53" s="169" t="inlineStr">
        <is>
          <t>KE0723</t>
        </is>
      </c>
      <c r="K53" s="36" t="inlineStr">
        <is>
          <t>4-Nov</t>
        </is>
      </c>
      <c r="L53" s="198" t="n">
        <v>561</v>
      </c>
      <c r="M53" s="33" t="inlineStr">
        <is>
          <t>11/4</t>
        </is>
      </c>
      <c r="N53" s="32" t="n">
        <v>0.46875</v>
      </c>
      <c r="X53" s="33" t="n"/>
      <c r="Y53" s="23" t="n"/>
      <c r="Z53" s="23" t="n"/>
      <c r="AA53" s="23" t="n"/>
      <c r="AB53" s="23" t="n"/>
      <c r="AC53" s="23" t="n"/>
      <c r="AD53" s="23" t="n"/>
      <c r="AE53" s="23" t="n"/>
      <c r="AF53" s="34" t="n"/>
    </row>
    <row r="54" hidden="1" ht="42.75" customFormat="1" customHeight="1" s="35">
      <c r="A54" s="23" t="n"/>
      <c r="B54" s="23" t="n"/>
      <c r="C54" s="23" t="n"/>
      <c r="D54" s="23" t="n"/>
      <c r="E54" s="24" t="n"/>
      <c r="F54" s="163" t="n">
        <v>46</v>
      </c>
      <c r="G54" s="26" t="inlineStr">
        <is>
          <t>01892093735</t>
        </is>
      </c>
      <c r="H54" s="27" t="inlineStr">
        <is>
          <t>CNE</t>
        </is>
      </c>
      <c r="I54" s="169" t="inlineStr">
        <is>
          <t>ヤマト</t>
        </is>
      </c>
      <c r="J54" s="169" t="inlineStr">
        <is>
          <t>HO1505</t>
        </is>
      </c>
      <c r="K54" s="36" t="inlineStr">
        <is>
          <t>4-Nov</t>
        </is>
      </c>
      <c r="L54" s="198" t="n">
        <v>696</v>
      </c>
      <c r="M54" s="33" t="inlineStr">
        <is>
          <t>11/4</t>
        </is>
      </c>
      <c r="N54" s="32" t="n">
        <v>0.4583333333333333</v>
      </c>
      <c r="X54" s="33" t="inlineStr">
        <is>
          <t>11/5</t>
        </is>
      </c>
      <c r="Y54" s="37" t="n">
        <v>0.33125</v>
      </c>
      <c r="Z54" s="23" t="n">
        <v>21</v>
      </c>
      <c r="AA54" s="23" t="n"/>
      <c r="AB54" s="23" t="n"/>
      <c r="AC54" s="23" t="n"/>
      <c r="AD54" s="23" t="n"/>
      <c r="AE54" s="23" t="n"/>
      <c r="AF54" s="34" t="n"/>
    </row>
    <row r="55" hidden="1" ht="42.75" customFormat="1" customHeight="1" s="35">
      <c r="A55" s="23" t="n"/>
      <c r="B55" s="23" t="n"/>
      <c r="C55" s="23" t="n"/>
      <c r="D55" s="23" t="n"/>
      <c r="E55" s="24" t="n"/>
      <c r="F55" s="163" t="n">
        <v>47</v>
      </c>
      <c r="G55" s="26" t="inlineStr">
        <is>
          <t>78441581971</t>
        </is>
      </c>
      <c r="H55" s="27" t="inlineStr">
        <is>
          <t>CNE</t>
        </is>
      </c>
      <c r="I55" s="169" t="inlineStr">
        <is>
          <t>ヤマト / ネコポス</t>
        </is>
      </c>
      <c r="J55" s="169" t="inlineStr">
        <is>
          <t>CZ8105</t>
        </is>
      </c>
      <c r="K55" s="36" t="inlineStr">
        <is>
          <t>4-Nov</t>
        </is>
      </c>
      <c r="L55" s="198" t="n">
        <v>1151</v>
      </c>
      <c r="M55" s="33" t="inlineStr">
        <is>
          <t>11/4</t>
        </is>
      </c>
      <c r="N55" s="32" t="n">
        <v>0.6465277777777778</v>
      </c>
      <c r="X55" s="33" t="inlineStr">
        <is>
          <t>11/4</t>
        </is>
      </c>
      <c r="Y55" s="37" t="n">
        <v>0.9152777777777777</v>
      </c>
      <c r="Z55" s="23" t="n">
        <v>49</v>
      </c>
      <c r="AA55" s="23" t="n"/>
      <c r="AB55" s="23" t="n"/>
      <c r="AC55" s="23" t="n"/>
      <c r="AD55" s="23" t="n"/>
      <c r="AE55" s="23" t="n"/>
      <c r="AF55" s="34" t="n"/>
    </row>
    <row r="56" hidden="1" ht="42.75" customFormat="1" customHeight="1" s="35">
      <c r="A56" s="23" t="n"/>
      <c r="B56" s="23" t="n"/>
      <c r="C56" s="23" t="n"/>
      <c r="D56" s="23" t="n"/>
      <c r="E56" s="24" t="n"/>
      <c r="F56" s="163" t="n">
        <v>48</v>
      </c>
      <c r="G56" s="26" t="inlineStr">
        <is>
          <t>92149766522</t>
        </is>
      </c>
      <c r="H56" s="27" t="inlineStr">
        <is>
          <t>YTO</t>
        </is>
      </c>
      <c r="I56" s="169" t="inlineStr">
        <is>
          <t>佐川</t>
        </is>
      </c>
      <c r="J56" s="169" t="inlineStr">
        <is>
          <t>O30277</t>
        </is>
      </c>
      <c r="K56" s="36" t="inlineStr">
        <is>
          <t>4-Nov</t>
        </is>
      </c>
      <c r="L56" s="198" t="n">
        <v>486</v>
      </c>
      <c r="M56" s="33" t="inlineStr">
        <is>
          <t>11/4</t>
        </is>
      </c>
      <c r="N56" s="32" t="n">
        <v>0.5486111111111112</v>
      </c>
      <c r="X56" s="33" t="n"/>
      <c r="Y56" s="23" t="n"/>
      <c r="Z56" s="23" t="n">
        <v>49</v>
      </c>
      <c r="AA56" s="23" t="n"/>
      <c r="AB56" s="23" t="n"/>
      <c r="AC56" s="23" t="n"/>
      <c r="AD56" s="23" t="n"/>
      <c r="AE56" s="23" t="n"/>
      <c r="AF56" s="34" t="inlineStr">
        <is>
          <t>佐川あり</t>
        </is>
      </c>
    </row>
    <row r="57" hidden="1" ht="42.75" customFormat="1" customHeight="1" s="35">
      <c r="A57" s="23" t="n"/>
      <c r="B57" s="23" t="n"/>
      <c r="C57" s="23" t="n"/>
      <c r="D57" s="23" t="n"/>
      <c r="E57" s="24" t="inlineStr">
        <is>
          <t>Ｓ</t>
        </is>
      </c>
      <c r="F57" s="23" t="n">
        <v>49</v>
      </c>
      <c r="G57" s="199" t="inlineStr">
        <is>
          <t>47935695564</t>
        </is>
      </c>
      <c r="H57" s="200" t="inlineStr">
        <is>
          <t>MMA</t>
        </is>
      </c>
      <c r="I57" s="169" t="inlineStr">
        <is>
          <t>ヤマト</t>
        </is>
      </c>
      <c r="J57" s="169" t="inlineStr">
        <is>
          <t>ZH0685</t>
        </is>
      </c>
      <c r="K57" s="36" t="inlineStr">
        <is>
          <t>4-Nov</t>
        </is>
      </c>
      <c r="L57" s="201" t="n">
        <v>49</v>
      </c>
      <c r="M57" s="33" t="inlineStr">
        <is>
          <t>11/4</t>
        </is>
      </c>
      <c r="N57" s="32" t="n">
        <v>0.5340277777777778</v>
      </c>
      <c r="X57" s="33" t="inlineStr">
        <is>
          <t>11/4</t>
        </is>
      </c>
      <c r="Y57" s="37" t="n">
        <v>0.6069444444444444</v>
      </c>
      <c r="Z57" s="23" t="inlineStr">
        <is>
          <t>7 / 33</t>
        </is>
      </c>
      <c r="AA57" s="23" t="n"/>
      <c r="AB57" s="23" t="inlineStr">
        <is>
          <t>✓</t>
        </is>
      </c>
      <c r="AC57" s="23" t="inlineStr">
        <is>
          <t>✓</t>
        </is>
      </c>
      <c r="AD57" s="23" t="inlineStr">
        <is>
          <t>✓</t>
        </is>
      </c>
      <c r="AE57" s="23" t="inlineStr">
        <is>
          <t>✓</t>
        </is>
      </c>
      <c r="AF57" s="34" t="n"/>
    </row>
    <row r="58" hidden="1" ht="42.75" customFormat="1" customHeight="1" s="35">
      <c r="A58" s="23" t="n"/>
      <c r="B58" s="23" t="n"/>
      <c r="C58" s="23" t="n"/>
      <c r="D58" s="23" t="n"/>
      <c r="E58" s="24" t="n"/>
      <c r="F58" s="202" t="n"/>
      <c r="G58" s="203" t="n"/>
      <c r="H58" s="204" t="n"/>
      <c r="I58" s="169" t="n"/>
      <c r="J58" s="169" t="n"/>
      <c r="K58" s="36" t="n"/>
      <c r="L58" s="198" t="n">
        <v>225</v>
      </c>
      <c r="M58" s="33" t="n"/>
      <c r="N58" s="32" t="n"/>
      <c r="X58" s="33" t="n"/>
      <c r="Y58" s="37" t="n"/>
      <c r="Z58" s="23" t="n"/>
      <c r="AA58" s="23" t="n"/>
      <c r="AB58" s="23" t="n"/>
      <c r="AC58" s="23" t="n"/>
      <c r="AD58" s="23" t="n"/>
      <c r="AE58" s="23" t="n"/>
      <c r="AF58" s="34" t="n"/>
    </row>
    <row r="59" hidden="1" ht="42.75" customFormat="1" customHeight="1" s="35">
      <c r="A59" s="23" t="n"/>
      <c r="B59" s="23" t="n"/>
      <c r="C59" s="23" t="n"/>
      <c r="D59" s="23" t="n"/>
      <c r="E59" s="24" t="n"/>
      <c r="F59" s="163" t="n">
        <v>50</v>
      </c>
      <c r="G59" s="26" t="inlineStr">
        <is>
          <t>16003239294</t>
        </is>
      </c>
      <c r="H59" s="27" t="inlineStr">
        <is>
          <t>YTO</t>
        </is>
      </c>
      <c r="I59" s="169" t="inlineStr">
        <is>
          <t>佐川</t>
        </is>
      </c>
      <c r="J59" s="169" t="inlineStr">
        <is>
          <t>CX0961</t>
        </is>
      </c>
      <c r="K59" s="36" t="inlineStr">
        <is>
          <t>5-Nov</t>
        </is>
      </c>
      <c r="L59" s="198" t="n">
        <v>443</v>
      </c>
      <c r="M59" s="33" t="inlineStr">
        <is>
          <t>11/5</t>
        </is>
      </c>
      <c r="N59" s="32" t="n">
        <v>0.7743055555555556</v>
      </c>
      <c r="X59" s="33" t="n"/>
      <c r="Y59" s="23" t="n"/>
      <c r="Z59" s="23" t="n"/>
      <c r="AA59" s="23" t="n"/>
      <c r="AB59" s="23" t="n"/>
      <c r="AC59" s="23" t="n"/>
      <c r="AD59" s="23" t="n"/>
      <c r="AE59" s="23" t="n"/>
      <c r="AF59" s="34" t="inlineStr">
        <is>
          <t>佐川あり</t>
        </is>
      </c>
    </row>
    <row r="60" hidden="1" ht="42.75" customFormat="1" customHeight="1" s="35">
      <c r="A60" s="23" t="n"/>
      <c r="B60" s="23" t="n"/>
      <c r="C60" s="23" t="n"/>
      <c r="D60" s="23" t="n"/>
      <c r="E60" s="24" t="n"/>
      <c r="F60" s="163" t="n">
        <v>51</v>
      </c>
      <c r="G60" s="26" t="inlineStr">
        <is>
          <t>16003137713</t>
        </is>
      </c>
      <c r="H60" s="27" t="inlineStr">
        <is>
          <t>YTO</t>
        </is>
      </c>
      <c r="I60" s="169" t="inlineStr">
        <is>
          <t>佐川</t>
        </is>
      </c>
      <c r="J60" s="91" t="inlineStr">
        <is>
          <t>CX0036</t>
        </is>
      </c>
      <c r="K60" s="36" t="inlineStr">
        <is>
          <t>4-Nov</t>
        </is>
      </c>
      <c r="L60" s="198" t="n">
        <v>365</v>
      </c>
      <c r="M60" s="33" t="inlineStr">
        <is>
          <t>11/4</t>
        </is>
      </c>
      <c r="N60" s="32" t="n">
        <v>0.6805555555555556</v>
      </c>
      <c r="X60" s="33" t="n"/>
      <c r="Y60" s="23" t="n"/>
      <c r="Z60" s="23" t="n">
        <v>27</v>
      </c>
      <c r="AA60" s="23" t="n"/>
      <c r="AB60" s="23" t="n"/>
      <c r="AC60" s="23" t="n"/>
      <c r="AD60" s="23" t="n"/>
      <c r="AE60" s="23" t="n"/>
      <c r="AF60" s="34" t="inlineStr">
        <is>
          <t>佐川あり</t>
        </is>
      </c>
    </row>
    <row r="61" hidden="1" ht="42.75" customFormat="1" customHeight="1" s="35">
      <c r="A61" s="23" t="n"/>
      <c r="B61" s="23" t="n"/>
      <c r="C61" s="23" t="n"/>
      <c r="D61" s="23" t="n"/>
      <c r="E61" s="24" t="n"/>
      <c r="F61" s="163" t="n">
        <v>52</v>
      </c>
      <c r="G61" s="26" t="inlineStr">
        <is>
          <t>11239343544</t>
        </is>
      </c>
      <c r="H61" s="27" t="inlineStr">
        <is>
          <t>YTO</t>
        </is>
      </c>
      <c r="I61" s="169" t="inlineStr">
        <is>
          <t>ヤマト / ネコポス / 佐川（239）</t>
        </is>
      </c>
      <c r="J61" s="91" t="inlineStr">
        <is>
          <t>MU729</t>
        </is>
      </c>
      <c r="K61" s="36" t="inlineStr">
        <is>
          <t>4-Nov</t>
        </is>
      </c>
      <c r="L61" s="198" t="n">
        <v>337</v>
      </c>
      <c r="M61" s="33" t="inlineStr">
        <is>
          <t>11/4</t>
        </is>
      </c>
      <c r="N61" s="92" t="n">
        <v>0.8604166666666667</v>
      </c>
      <c r="X61" s="33" t="n"/>
      <c r="Y61" s="23" t="n"/>
      <c r="Z61" s="23" t="n"/>
      <c r="AA61" s="23" t="n"/>
      <c r="AB61" s="23" t="n"/>
      <c r="AC61" s="23" t="n"/>
      <c r="AD61" s="23" t="n"/>
      <c r="AE61" s="23" t="n"/>
      <c r="AF61" s="34" t="inlineStr">
        <is>
          <t>佐川あり</t>
        </is>
      </c>
    </row>
    <row r="62" hidden="1" ht="42.75" customFormat="1" customHeight="1" s="35">
      <c r="A62" s="23" t="n"/>
      <c r="B62" s="23" t="n"/>
      <c r="C62" s="23" t="n"/>
      <c r="D62" s="23" t="n"/>
      <c r="E62" s="24" t="n"/>
      <c r="F62" s="163" t="n">
        <v>53</v>
      </c>
      <c r="G62" s="26" t="inlineStr">
        <is>
          <t>92149451920</t>
        </is>
      </c>
      <c r="H62" s="27" t="inlineStr">
        <is>
          <t>NY</t>
        </is>
      </c>
      <c r="I62" s="169" t="inlineStr">
        <is>
          <t>ヤマト</t>
        </is>
      </c>
      <c r="J62" s="169" t="inlineStr">
        <is>
          <t>O30277</t>
        </is>
      </c>
      <c r="K62" s="36" t="inlineStr">
        <is>
          <t>4-Nov</t>
        </is>
      </c>
      <c r="L62" s="198" t="n">
        <v>735</v>
      </c>
      <c r="M62" s="33" t="inlineStr">
        <is>
          <t>11/4</t>
        </is>
      </c>
      <c r="N62" s="32" t="n">
        <v>0.5486111111111112</v>
      </c>
      <c r="X62" s="33" t="n"/>
      <c r="Y62" s="23" t="n"/>
      <c r="Z62" s="23" t="n">
        <v>129</v>
      </c>
      <c r="AA62" s="23" t="n"/>
      <c r="AB62" s="23" t="n"/>
      <c r="AC62" s="23" t="n"/>
      <c r="AD62" s="23" t="n"/>
      <c r="AE62" s="23" t="n"/>
      <c r="AF62" s="34" t="inlineStr">
        <is>
          <t>緊急依頼済み</t>
        </is>
      </c>
    </row>
    <row r="63" hidden="1" ht="42.75" customFormat="1" customHeight="1" s="35">
      <c r="A63" s="23" t="n"/>
      <c r="B63" s="23" t="n"/>
      <c r="C63" s="23" t="n"/>
      <c r="D63" s="23" t="n"/>
      <c r="E63" s="24" t="n"/>
      <c r="F63" s="163" t="n">
        <v>54</v>
      </c>
      <c r="G63" s="26" t="inlineStr">
        <is>
          <t>92149451916</t>
        </is>
      </c>
      <c r="H63" s="27" t="inlineStr">
        <is>
          <t>NY</t>
        </is>
      </c>
      <c r="I63" s="169" t="inlineStr">
        <is>
          <t>ヤマト</t>
        </is>
      </c>
      <c r="J63" s="169" t="inlineStr">
        <is>
          <t>O30277</t>
        </is>
      </c>
      <c r="K63" s="36" t="inlineStr">
        <is>
          <t>4-Nov</t>
        </is>
      </c>
      <c r="L63" s="198" t="n">
        <v>2262</v>
      </c>
      <c r="M63" s="33" t="inlineStr">
        <is>
          <t>11/4</t>
        </is>
      </c>
      <c r="N63" s="32" t="n">
        <v>0.5486111111111112</v>
      </c>
      <c r="X63" s="33" t="n"/>
      <c r="Y63" s="23" t="n"/>
      <c r="Z63" s="23" t="n">
        <v>26</v>
      </c>
      <c r="AA63" s="23" t="n"/>
      <c r="AB63" s="23" t="n"/>
      <c r="AC63" s="23" t="n"/>
      <c r="AD63" s="23" t="n"/>
      <c r="AE63" s="23" t="n"/>
      <c r="AF63" s="34" t="inlineStr">
        <is>
          <t>緊急依頼済み</t>
        </is>
      </c>
    </row>
    <row r="64" ht="42.75" customFormat="1" customHeight="1" s="52">
      <c r="A64" s="41" t="n"/>
      <c r="B64" s="41" t="n"/>
      <c r="C64" s="41" t="n"/>
      <c r="D64" s="41" t="n"/>
      <c r="E64" s="42" t="n"/>
      <c r="F64" s="171" t="n">
        <v>55</v>
      </c>
      <c r="G64" s="44" t="inlineStr">
        <is>
          <t>87711331504</t>
        </is>
      </c>
      <c r="H64" s="45" t="inlineStr">
        <is>
          <t>CAINIAO-E</t>
        </is>
      </c>
      <c r="I64" s="177" t="inlineStr">
        <is>
          <t>ヤマト</t>
        </is>
      </c>
      <c r="J64" s="177" t="inlineStr">
        <is>
          <t>HT3867</t>
        </is>
      </c>
      <c r="K64" s="47" t="inlineStr">
        <is>
          <t>4-Nov</t>
        </is>
      </c>
      <c r="L64" s="205" t="n">
        <v>1150</v>
      </c>
      <c r="M64" s="49" t="inlineStr">
        <is>
          <t>11/4</t>
        </is>
      </c>
      <c r="N64" s="50" t="n">
        <v>0.2402777777777778</v>
      </c>
      <c r="O64" s="206" t="n">
        <v>703</v>
      </c>
      <c r="P64" s="206" t="n">
        <v>162</v>
      </c>
      <c r="Q64" s="206" t="n">
        <v>541</v>
      </c>
      <c r="R64" s="206" t="n">
        <v>18</v>
      </c>
      <c r="S64" s="206" t="n">
        <v>9</v>
      </c>
      <c r="T64" s="206" t="n">
        <v>17</v>
      </c>
      <c r="U64" s="206" t="n">
        <v>3</v>
      </c>
      <c r="V64" s="206" t="n">
        <v>6</v>
      </c>
      <c r="W64" s="206" t="n">
        <v>8</v>
      </c>
      <c r="X64" s="49" t="n"/>
      <c r="Y64" s="41" t="n"/>
      <c r="Z64" s="41" t="n"/>
      <c r="AA64" s="41" t="n"/>
      <c r="AB64" s="41" t="n"/>
      <c r="AC64" s="41" t="n"/>
      <c r="AD64" s="41" t="n"/>
      <c r="AE64" s="41" t="n"/>
      <c r="AF64" s="51" t="n"/>
    </row>
    <row r="65" ht="42.75" customFormat="1" customHeight="1" s="52">
      <c r="A65" s="41" t="n"/>
      <c r="B65" s="41" t="n"/>
      <c r="C65" s="41" t="n"/>
      <c r="D65" s="41" t="n"/>
      <c r="E65" s="42" t="n"/>
      <c r="F65" s="171" t="n">
        <v>56</v>
      </c>
      <c r="G65" s="44" t="inlineStr">
        <is>
          <t>87643326426</t>
        </is>
      </c>
      <c r="H65" s="45" t="inlineStr">
        <is>
          <t>CAINIAO-E</t>
        </is>
      </c>
      <c r="I65" s="177" t="inlineStr">
        <is>
          <t>ヤマト</t>
        </is>
      </c>
      <c r="J65" s="177" t="inlineStr">
        <is>
          <t>3U9371</t>
        </is>
      </c>
      <c r="K65" s="47" t="inlineStr">
        <is>
          <t>4-Nov</t>
        </is>
      </c>
      <c r="L65" s="205" t="n">
        <v>902</v>
      </c>
      <c r="M65" s="49" t="inlineStr">
        <is>
          <t>11/4</t>
        </is>
      </c>
      <c r="N65" s="50" t="n">
        <v>0.84375</v>
      </c>
      <c r="O65" s="206" t="n">
        <v>641</v>
      </c>
      <c r="P65" s="206" t="n">
        <v>166</v>
      </c>
      <c r="Q65" s="206" t="n">
        <v>475</v>
      </c>
      <c r="R65" s="206" t="n">
        <v>11</v>
      </c>
      <c r="S65" s="206" t="n">
        <v>17</v>
      </c>
      <c r="T65" s="206" t="n">
        <v>19</v>
      </c>
      <c r="U65" s="206" t="n">
        <v>0</v>
      </c>
      <c r="V65" s="206" t="n">
        <v>3</v>
      </c>
      <c r="W65" s="206" t="n">
        <v>4</v>
      </c>
      <c r="X65" s="49" t="inlineStr">
        <is>
          <t>11/5</t>
        </is>
      </c>
      <c r="Y65" s="53" t="n">
        <v>0.3340277777777778</v>
      </c>
      <c r="Z65" s="41" t="n">
        <v>28</v>
      </c>
      <c r="AA65" s="41" t="n"/>
      <c r="AB65" s="41" t="n"/>
      <c r="AC65" s="41" t="n"/>
      <c r="AD65" s="41" t="n"/>
      <c r="AE65" s="41" t="n"/>
      <c r="AF65" s="51" t="n"/>
    </row>
    <row r="66" hidden="1" ht="42.75" customFormat="1" customHeight="1" s="35">
      <c r="A66" s="23" t="n"/>
      <c r="B66" s="23" t="n"/>
      <c r="C66" s="23" t="n"/>
      <c r="D66" s="23" t="n"/>
      <c r="E66" s="24" t="n"/>
      <c r="F66" s="163" t="n">
        <v>57</v>
      </c>
      <c r="G66" s="26" t="inlineStr">
        <is>
          <t>80422292325</t>
        </is>
      </c>
      <c r="H66" s="27" t="inlineStr">
        <is>
          <t>YNE</t>
        </is>
      </c>
      <c r="I66" s="169" t="inlineStr">
        <is>
          <t>ヤマト / ネコポス / 佐川（507）</t>
        </is>
      </c>
      <c r="J66" s="169" t="inlineStr">
        <is>
          <t>CF0215</t>
        </is>
      </c>
      <c r="K66" s="36" t="inlineStr">
        <is>
          <t>4-Nov</t>
        </is>
      </c>
      <c r="L66" s="198" t="n">
        <v>2519</v>
      </c>
      <c r="M66" s="33" t="inlineStr">
        <is>
          <t>11/4</t>
        </is>
      </c>
      <c r="N66" s="32" t="n">
        <v>0.5069444444444444</v>
      </c>
      <c r="X66" s="33" t="inlineStr">
        <is>
          <t>11/4</t>
        </is>
      </c>
      <c r="Y66" s="37" t="n">
        <v>0.7152777777777778</v>
      </c>
      <c r="Z66" s="23" t="n">
        <v>106</v>
      </c>
      <c r="AA66" s="23" t="n"/>
      <c r="AB66" s="23" t="n"/>
      <c r="AC66" s="23" t="n"/>
      <c r="AD66" s="23" t="n"/>
      <c r="AE66" s="23" t="n"/>
      <c r="AF66" s="34" t="inlineStr">
        <is>
          <t>緊急依頼済み/佐川出荷止め</t>
        </is>
      </c>
    </row>
    <row r="67" hidden="1" ht="42.75" customFormat="1" customHeight="1" s="35">
      <c r="A67" s="23" t="n"/>
      <c r="B67" s="23" t="n"/>
      <c r="C67" s="23" t="n"/>
      <c r="D67" s="23" t="n"/>
      <c r="E67" s="24" t="n"/>
      <c r="F67" s="163" t="n">
        <v>58</v>
      </c>
      <c r="G67" s="26" t="inlineStr">
        <is>
          <t>20532604084</t>
        </is>
      </c>
      <c r="H67" s="27" t="inlineStr">
        <is>
          <t>LDX</t>
        </is>
      </c>
      <c r="I67" s="169" t="inlineStr">
        <is>
          <t>ヤマト / ネコポス</t>
        </is>
      </c>
      <c r="J67" s="169" t="inlineStr">
        <is>
          <t>NH0970</t>
        </is>
      </c>
      <c r="K67" s="36" t="inlineStr">
        <is>
          <t>4-Nov</t>
        </is>
      </c>
      <c r="L67" s="198" t="n">
        <v>375</v>
      </c>
      <c r="M67" s="33" t="inlineStr">
        <is>
          <t>11/4</t>
        </is>
      </c>
      <c r="N67" s="32" t="n">
        <v>0.7256944444444444</v>
      </c>
      <c r="X67" s="33" t="inlineStr">
        <is>
          <t>11/4</t>
        </is>
      </c>
      <c r="Y67" s="37" t="n">
        <v>0.8402777777777778</v>
      </c>
      <c r="Z67" s="23" t="n">
        <v>13</v>
      </c>
      <c r="AA67" s="23" t="n"/>
      <c r="AB67" s="23" t="n"/>
      <c r="AC67" s="23" t="n"/>
      <c r="AD67" s="23" t="n"/>
      <c r="AE67" s="23" t="n"/>
      <c r="AF67" s="34" t="inlineStr">
        <is>
          <t>HND経由</t>
        </is>
      </c>
    </row>
    <row r="68" hidden="1" ht="42.75" customFormat="1" customHeight="1" s="35">
      <c r="A68" s="23" t="n"/>
      <c r="B68" s="23" t="n"/>
      <c r="C68" s="23" t="n"/>
      <c r="D68" s="23" t="n"/>
      <c r="E68" s="24" t="n"/>
      <c r="F68" s="163" t="n">
        <v>59</v>
      </c>
      <c r="G68" s="26" t="inlineStr">
        <is>
          <t>99937722823</t>
        </is>
      </c>
      <c r="H68" s="27" t="inlineStr">
        <is>
          <t>YNE</t>
        </is>
      </c>
      <c r="I68" s="169" t="inlineStr">
        <is>
          <t>ヤマト</t>
        </is>
      </c>
      <c r="J68" s="169" t="inlineStr">
        <is>
          <t>CA0163</t>
        </is>
      </c>
      <c r="K68" s="36" t="inlineStr">
        <is>
          <t>4-Nov</t>
        </is>
      </c>
      <c r="L68" s="198" t="n">
        <v>717</v>
      </c>
      <c r="M68" s="33" t="inlineStr">
        <is>
          <t>11/4</t>
        </is>
      </c>
      <c r="N68" s="32" t="n">
        <v>0.8645833333333334</v>
      </c>
      <c r="X68" s="33" t="inlineStr">
        <is>
          <t>11/4</t>
        </is>
      </c>
      <c r="Y68" s="37" t="n">
        <v>0.9597222222222223</v>
      </c>
      <c r="Z68" s="23" t="n">
        <v>25</v>
      </c>
      <c r="AA68" s="23" t="n"/>
      <c r="AB68" s="23" t="n"/>
      <c r="AC68" s="23" t="n"/>
      <c r="AD68" s="23" t="n"/>
      <c r="AE68" s="23" t="n"/>
      <c r="AF68" s="34" t="n"/>
    </row>
    <row r="69" hidden="1" ht="42.75" customFormat="1" customHeight="1" s="35">
      <c r="A69" s="23" t="n"/>
      <c r="B69" s="23" t="n"/>
      <c r="C69" s="23" t="n"/>
      <c r="D69" s="23" t="n"/>
      <c r="E69" s="24" t="n"/>
      <c r="F69" s="163" t="n">
        <v>60</v>
      </c>
      <c r="G69" s="26" t="inlineStr">
        <is>
          <t>11239488956</t>
        </is>
      </c>
      <c r="H69" s="27" t="inlineStr">
        <is>
          <t>YNE</t>
        </is>
      </c>
      <c r="I69" s="169" t="inlineStr">
        <is>
          <t>ヤマト</t>
        </is>
      </c>
      <c r="J69" s="169" t="inlineStr">
        <is>
          <t>MU2575</t>
        </is>
      </c>
      <c r="K69" s="36" t="inlineStr">
        <is>
          <t>5-Nov</t>
        </is>
      </c>
      <c r="L69" s="198" t="n">
        <v>422</v>
      </c>
      <c r="M69" s="33" t="inlineStr">
        <is>
          <t>11/5</t>
        </is>
      </c>
      <c r="N69" s="32" t="n">
        <v>0.5381944444444444</v>
      </c>
      <c r="X69" s="33" t="n"/>
      <c r="Y69" s="23" t="n"/>
      <c r="Z69" s="23" t="n"/>
      <c r="AA69" s="23" t="n"/>
      <c r="AB69" s="23" t="n"/>
      <c r="AC69" s="23" t="n"/>
      <c r="AD69" s="23" t="n"/>
      <c r="AE69" s="23" t="n"/>
      <c r="AF69" s="34" t="inlineStr">
        <is>
          <t>緊急依頼済み</t>
        </is>
      </c>
    </row>
    <row r="70" hidden="1" ht="42.75" customFormat="1" customHeight="1" s="52">
      <c r="A70" s="41" t="n"/>
      <c r="B70" s="41" t="n"/>
      <c r="C70" s="41" t="n"/>
      <c r="D70" s="41" t="n"/>
      <c r="E70" s="42" t="n"/>
      <c r="F70" s="171" t="n">
        <v>61</v>
      </c>
      <c r="G70" s="44" t="inlineStr">
        <is>
          <t>08901341023</t>
        </is>
      </c>
      <c r="H70" s="45" t="inlineStr">
        <is>
          <t>CAINIAO-E</t>
        </is>
      </c>
      <c r="I70" s="177" t="inlineStr">
        <is>
          <t>ヤマト</t>
        </is>
      </c>
      <c r="J70" s="177" t="inlineStr">
        <is>
          <t>9C6581</t>
        </is>
      </c>
      <c r="K70" s="47" t="inlineStr">
        <is>
          <t>5-Nov</t>
        </is>
      </c>
      <c r="L70" s="205" t="n">
        <v>2132</v>
      </c>
      <c r="M70" s="49" t="inlineStr">
        <is>
          <t>11/5</t>
        </is>
      </c>
      <c r="N70" s="50" t="n">
        <v>0.7645833333333333</v>
      </c>
      <c r="X70" s="49" t="n"/>
      <c r="Y70" s="41" t="n"/>
      <c r="Z70" s="41" t="n"/>
      <c r="AA70" s="41" t="n"/>
      <c r="AB70" s="41" t="n"/>
      <c r="AC70" s="41" t="n"/>
      <c r="AD70" s="41" t="n"/>
      <c r="AE70" s="41" t="n"/>
      <c r="AF70" s="51" t="n"/>
    </row>
    <row r="71" hidden="1" ht="42.75" customFormat="1" customHeight="1" s="35">
      <c r="A71" s="23" t="n"/>
      <c r="B71" s="23" t="n"/>
      <c r="C71" s="23" t="n"/>
      <c r="D71" s="23" t="n"/>
      <c r="E71" s="24" t="n"/>
      <c r="F71" s="163" t="n">
        <v>62</v>
      </c>
      <c r="G71" s="26" t="inlineStr">
        <is>
          <t>16002216373</t>
        </is>
      </c>
      <c r="H71" s="27" t="inlineStr">
        <is>
          <t>YTO</t>
        </is>
      </c>
      <c r="I71" s="169" t="inlineStr">
        <is>
          <t>佐川</t>
        </is>
      </c>
      <c r="J71" s="169" t="inlineStr">
        <is>
          <t>CX0036</t>
        </is>
      </c>
      <c r="K71" s="36" t="inlineStr">
        <is>
          <t>4-Nov</t>
        </is>
      </c>
      <c r="L71" s="198" t="n">
        <v>416</v>
      </c>
      <c r="M71" s="33" t="inlineStr">
        <is>
          <t>11/4</t>
        </is>
      </c>
      <c r="N71" s="32" t="n">
        <v>0.6805555555555556</v>
      </c>
      <c r="X71" s="33" t="n"/>
      <c r="Y71" s="23" t="n"/>
      <c r="Z71" s="23" t="n">
        <v>89</v>
      </c>
      <c r="AA71" s="23" t="n"/>
      <c r="AB71" s="23" t="n"/>
      <c r="AC71" s="23" t="n"/>
      <c r="AD71" s="23" t="n"/>
      <c r="AE71" s="23" t="n"/>
      <c r="AF71" s="34" t="inlineStr">
        <is>
          <t>佐川あり</t>
        </is>
      </c>
    </row>
    <row r="72" hidden="1" ht="42.75" customFormat="1" customHeight="1" s="35">
      <c r="A72" s="23" t="n"/>
      <c r="B72" s="23" t="n"/>
      <c r="C72" s="23" t="n"/>
      <c r="D72" s="23" t="n"/>
      <c r="E72" s="24" t="n"/>
      <c r="F72" s="163" t="n">
        <v>63</v>
      </c>
      <c r="G72" s="26" t="inlineStr">
        <is>
          <t>92149451905</t>
        </is>
      </c>
      <c r="H72" s="27" t="inlineStr">
        <is>
          <t>NY</t>
        </is>
      </c>
      <c r="I72" s="169" t="inlineStr">
        <is>
          <t>ヤマト</t>
        </is>
      </c>
      <c r="J72" s="169" t="inlineStr">
        <is>
          <t>O30277</t>
        </is>
      </c>
      <c r="K72" s="36" t="inlineStr">
        <is>
          <t>4-Nov</t>
        </is>
      </c>
      <c r="L72" s="93" t="n">
        <v>278</v>
      </c>
      <c r="M72" s="33" t="inlineStr">
        <is>
          <t>11/4</t>
        </is>
      </c>
      <c r="N72" s="32" t="n">
        <v>0.5416666666666666</v>
      </c>
      <c r="X72" s="33" t="n"/>
      <c r="Y72" s="23" t="n"/>
      <c r="Z72" s="23" t="n">
        <v>14</v>
      </c>
      <c r="AA72" s="23" t="n"/>
      <c r="AB72" s="23" t="n"/>
      <c r="AC72" s="23" t="n"/>
      <c r="AD72" s="23" t="n"/>
      <c r="AE72" s="23" t="n"/>
      <c r="AF72" s="34" t="n"/>
    </row>
    <row r="73" hidden="1" ht="42.75" customFormat="1" customHeight="1" s="35">
      <c r="A73" s="23" t="n"/>
      <c r="B73" s="23" t="n"/>
      <c r="C73" s="23" t="n"/>
      <c r="D73" s="23" t="n"/>
      <c r="E73" s="24" t="n"/>
      <c r="F73" s="163" t="n">
        <v>64</v>
      </c>
      <c r="G73" s="26" t="inlineStr">
        <is>
          <t>92149451931</t>
        </is>
      </c>
      <c r="H73" s="27" t="inlineStr">
        <is>
          <t>NY</t>
        </is>
      </c>
      <c r="I73" s="169" t="inlineStr">
        <is>
          <t>ヤマト / ネコポス</t>
        </is>
      </c>
      <c r="J73" s="169" t="inlineStr">
        <is>
          <t>O30277</t>
        </is>
      </c>
      <c r="K73" s="36" t="inlineStr">
        <is>
          <t>4-Nov</t>
        </is>
      </c>
      <c r="L73" s="93" t="n">
        <v>2082</v>
      </c>
      <c r="M73" s="33" t="inlineStr">
        <is>
          <t>11/4</t>
        </is>
      </c>
      <c r="N73" s="32" t="n">
        <v>0.5416666666666666</v>
      </c>
      <c r="X73" s="33" t="n"/>
      <c r="Y73" s="23" t="n"/>
      <c r="Z73" s="23" t="n">
        <v>193</v>
      </c>
      <c r="AA73" s="23" t="n"/>
      <c r="AB73" s="23" t="n"/>
      <c r="AC73" s="23" t="n"/>
      <c r="AD73" s="23" t="n"/>
      <c r="AE73" s="23" t="n"/>
      <c r="AF73" s="34" t="n"/>
    </row>
    <row r="74" hidden="1" ht="42.75" customFormat="1" customHeight="1" s="35">
      <c r="A74" s="23" t="n"/>
      <c r="B74" s="23" t="n"/>
      <c r="C74" s="23" t="n"/>
      <c r="D74" s="23" t="n"/>
      <c r="E74" s="24" t="inlineStr">
        <is>
          <t>S</t>
        </is>
      </c>
      <c r="F74" s="23" t="n">
        <v>65</v>
      </c>
      <c r="G74" s="199" t="inlineStr">
        <is>
          <t>16002215452</t>
        </is>
      </c>
      <c r="H74" s="200" t="inlineStr">
        <is>
          <t>YTO</t>
        </is>
      </c>
      <c r="I74" s="40" t="inlineStr">
        <is>
          <t>佐川</t>
        </is>
      </c>
      <c r="J74" s="36" t="inlineStr">
        <is>
          <t>CX0566</t>
        </is>
      </c>
      <c r="K74" s="40" t="inlineStr">
        <is>
          <t>4-Nov</t>
        </is>
      </c>
      <c r="L74" s="201" t="n">
        <v>117</v>
      </c>
      <c r="M74" s="33" t="inlineStr">
        <is>
          <t>11/4</t>
        </is>
      </c>
      <c r="N74" s="32" t="n">
        <v>0.2618055555555556</v>
      </c>
      <c r="X74" s="33" t="inlineStr">
        <is>
          <t>11/4</t>
        </is>
      </c>
      <c r="Y74" s="37" t="n">
        <v>0.3590277777777778</v>
      </c>
      <c r="Z74" s="23" t="inlineStr">
        <is>
          <t>22 / 37</t>
        </is>
      </c>
      <c r="AA74" s="23" t="n"/>
      <c r="AB74" s="23" t="inlineStr">
        <is>
          <t>✓</t>
        </is>
      </c>
      <c r="AC74" s="23" t="inlineStr">
        <is>
          <t>✓</t>
        </is>
      </c>
      <c r="AD74" s="23" t="inlineStr">
        <is>
          <t>✓</t>
        </is>
      </c>
      <c r="AE74" s="23" t="inlineStr">
        <is>
          <t>✓</t>
        </is>
      </c>
      <c r="AF74" s="34" t="inlineStr">
        <is>
          <t>佐川あり</t>
        </is>
      </c>
    </row>
    <row r="75" hidden="1" ht="42.75" customFormat="1" customHeight="1" s="35">
      <c r="A75" s="23" t="n"/>
      <c r="B75" s="23" t="n"/>
      <c r="C75" s="23" t="n"/>
      <c r="D75" s="23" t="n"/>
      <c r="E75" s="24" t="n"/>
      <c r="F75" s="202" t="n"/>
      <c r="G75" s="203" t="n"/>
      <c r="H75" s="204" t="n"/>
      <c r="I75" s="202" t="n"/>
      <c r="J75" s="36" t="inlineStr">
        <is>
          <t>LD0204</t>
        </is>
      </c>
      <c r="K75" s="40" t="inlineStr">
        <is>
          <t>4-Nov</t>
        </is>
      </c>
      <c r="L75" s="198" t="n">
        <v>38</v>
      </c>
      <c r="M75" s="33" t="inlineStr">
        <is>
          <t>11/4</t>
        </is>
      </c>
      <c r="N75" s="32" t="n">
        <v>0.3291666666666667</v>
      </c>
      <c r="X75" s="33" t="n"/>
      <c r="Y75" s="37" t="n"/>
      <c r="Z75" s="23" t="n">
        <v>15</v>
      </c>
      <c r="AA75" s="23" t="n"/>
      <c r="AB75" s="23" t="n"/>
      <c r="AC75" s="23" t="n"/>
      <c r="AD75" s="23" t="n"/>
      <c r="AE75" s="23" t="n"/>
      <c r="AF75" s="34" t="n"/>
    </row>
    <row r="76" ht="42.75" customFormat="1" customHeight="1" s="95">
      <c r="A76" s="54" t="n"/>
      <c r="B76" s="54" t="n"/>
      <c r="C76" s="54" t="n"/>
      <c r="D76" s="54" t="n"/>
      <c r="E76" s="55" t="n"/>
      <c r="F76" s="56" t="n">
        <v>66</v>
      </c>
      <c r="G76" s="57" t="inlineStr">
        <is>
          <t>29771199483</t>
        </is>
      </c>
      <c r="H76" s="58" t="inlineStr">
        <is>
          <t>TEMU</t>
        </is>
      </c>
      <c r="I76" s="59" t="inlineStr">
        <is>
          <t>エスポ便</t>
        </is>
      </c>
      <c r="J76" s="60" t="inlineStr">
        <is>
          <t>CI5836</t>
        </is>
      </c>
      <c r="K76" s="94" t="inlineStr">
        <is>
          <t>5-Nov</t>
        </is>
      </c>
      <c r="L76" s="207" t="n">
        <v>545</v>
      </c>
      <c r="M76" s="62" t="inlineStr">
        <is>
          <t>11/5</t>
        </is>
      </c>
      <c r="N76" s="63" t="n">
        <v>0.5347222222222222</v>
      </c>
      <c r="O76" s="206" t="n">
        <v>545</v>
      </c>
      <c r="P76" s="206" t="n">
        <v>41</v>
      </c>
      <c r="Q76" s="206" t="n">
        <v>504</v>
      </c>
      <c r="R76" s="206" t="n">
        <v>0</v>
      </c>
      <c r="S76" s="206" t="n">
        <v>0</v>
      </c>
      <c r="T76" s="206" t="n">
        <v>0</v>
      </c>
      <c r="U76" s="206" t="n">
        <v>0</v>
      </c>
      <c r="V76" s="206" t="n">
        <v>0</v>
      </c>
      <c r="W76" s="206" t="n">
        <v>41</v>
      </c>
      <c r="X76" s="62" t="n"/>
      <c r="Y76" s="54" t="n"/>
      <c r="Z76" s="54" t="n"/>
      <c r="AA76" s="54" t="n"/>
      <c r="AB76" s="54" t="n"/>
      <c r="AC76" s="54" t="n"/>
      <c r="AD76" s="54" t="n"/>
      <c r="AE76" s="54" t="n"/>
      <c r="AF76" s="65" t="n"/>
    </row>
    <row r="77" hidden="1" ht="42.75" customFormat="1" customHeight="1" s="35">
      <c r="A77" s="23" t="n"/>
      <c r="B77" s="23" t="n"/>
      <c r="C77" s="23" t="n"/>
      <c r="D77" s="23" t="n"/>
      <c r="E77" s="24" t="n"/>
      <c r="F77" s="163" t="n">
        <v>67</v>
      </c>
      <c r="G77" s="26" t="inlineStr">
        <is>
          <t>92149451894</t>
        </is>
      </c>
      <c r="H77" s="27" t="inlineStr">
        <is>
          <t>NY</t>
        </is>
      </c>
      <c r="I77" s="169" t="inlineStr">
        <is>
          <t>ヤマト / ネコポス</t>
        </is>
      </c>
      <c r="J77" s="36" t="inlineStr">
        <is>
          <t>O30277</t>
        </is>
      </c>
      <c r="K77" s="40" t="inlineStr">
        <is>
          <t>4-Nov</t>
        </is>
      </c>
      <c r="L77" s="198" t="n">
        <v>1334</v>
      </c>
      <c r="M77" s="33" t="inlineStr">
        <is>
          <t>11/4</t>
        </is>
      </c>
      <c r="N77" s="32" t="n">
        <v>0.5534722222222223</v>
      </c>
      <c r="X77" s="33" t="n"/>
      <c r="Y77" s="23" t="n"/>
      <c r="Z77" s="23" t="n">
        <v>71</v>
      </c>
      <c r="AA77" s="23" t="n"/>
      <c r="AB77" s="23" t="n"/>
      <c r="AC77" s="23" t="n"/>
      <c r="AD77" s="23" t="n"/>
      <c r="AE77" s="23" t="n"/>
      <c r="AF77" s="34" t="n"/>
    </row>
    <row r="78" ht="42.75" customFormat="1" customHeight="1" s="52">
      <c r="A78" s="41" t="n"/>
      <c r="B78" s="41" t="n"/>
      <c r="C78" s="41" t="n"/>
      <c r="D78" s="41" t="n"/>
      <c r="E78" s="42" t="n"/>
      <c r="F78" s="171" t="n">
        <v>68</v>
      </c>
      <c r="G78" s="44" t="inlineStr">
        <is>
          <t>08901325472</t>
        </is>
      </c>
      <c r="H78" s="45" t="inlineStr">
        <is>
          <t>CAINIAO-E</t>
        </is>
      </c>
      <c r="I78" s="177" t="inlineStr">
        <is>
          <t>ヤマト</t>
        </is>
      </c>
      <c r="J78" s="47" t="inlineStr">
        <is>
          <t>9C6589</t>
        </is>
      </c>
      <c r="K78" s="96" t="inlineStr">
        <is>
          <t>5-Nov</t>
        </is>
      </c>
      <c r="L78" s="205" t="n">
        <v>495</v>
      </c>
      <c r="M78" s="49" t="inlineStr">
        <is>
          <t>11/5</t>
        </is>
      </c>
      <c r="N78" s="50" t="n">
        <v>0.6</v>
      </c>
      <c r="O78" s="206" t="n">
        <v>386</v>
      </c>
      <c r="P78" s="206" t="n">
        <v>76</v>
      </c>
      <c r="Q78" s="206" t="n">
        <v>310</v>
      </c>
      <c r="R78" s="206" t="n">
        <v>2</v>
      </c>
      <c r="S78" s="206" t="n">
        <v>0</v>
      </c>
      <c r="T78" s="206" t="n">
        <v>5</v>
      </c>
      <c r="U78" s="206" t="n">
        <v>0</v>
      </c>
      <c r="V78" s="206" t="n">
        <v>0</v>
      </c>
      <c r="W78" s="206" t="n">
        <v>5</v>
      </c>
      <c r="X78" s="49" t="n"/>
      <c r="Y78" s="41" t="n"/>
      <c r="Z78" s="41" t="n"/>
      <c r="AA78" s="41" t="n"/>
      <c r="AB78" s="41" t="n"/>
      <c r="AC78" s="41" t="n"/>
      <c r="AD78" s="41" t="n"/>
      <c r="AE78" s="41" t="n"/>
      <c r="AF78" s="51" t="n"/>
    </row>
    <row r="79" ht="42.75" customFormat="1" customHeight="1" s="52">
      <c r="A79" s="41" t="n"/>
      <c r="B79" s="41" t="n"/>
      <c r="C79" s="41" t="n"/>
      <c r="D79" s="41" t="n"/>
      <c r="E79" s="42" t="n"/>
      <c r="F79" s="171" t="n">
        <v>69</v>
      </c>
      <c r="G79" s="44" t="inlineStr">
        <is>
          <t>78481941974</t>
        </is>
      </c>
      <c r="H79" s="45" t="inlineStr">
        <is>
          <t>CAINIAO-E</t>
        </is>
      </c>
      <c r="I79" s="177" t="inlineStr">
        <is>
          <t>ヤマト</t>
        </is>
      </c>
      <c r="J79" s="47" t="inlineStr">
        <is>
          <t>CZ0389</t>
        </is>
      </c>
      <c r="K79" s="96" t="inlineStr">
        <is>
          <t>5-Nov</t>
        </is>
      </c>
      <c r="L79" s="205" t="n">
        <v>1006</v>
      </c>
      <c r="M79" s="49" t="inlineStr">
        <is>
          <t>11/5</t>
        </is>
      </c>
      <c r="N79" s="50" t="n">
        <v>0.5416666666666666</v>
      </c>
      <c r="O79" s="206" t="n">
        <v>411</v>
      </c>
      <c r="P79" s="206" t="n">
        <v>193</v>
      </c>
      <c r="Q79" s="206" t="n">
        <v>218</v>
      </c>
      <c r="R79" s="206" t="n">
        <v>16</v>
      </c>
      <c r="S79" s="206" t="n">
        <v>28</v>
      </c>
      <c r="T79" s="206" t="n">
        <v>27</v>
      </c>
      <c r="U79" s="206" t="n">
        <v>3</v>
      </c>
      <c r="V79" s="206" t="n">
        <v>5</v>
      </c>
      <c r="W79" s="206" t="n">
        <v>11</v>
      </c>
      <c r="X79" s="49" t="n"/>
      <c r="Y79" s="41" t="n"/>
      <c r="Z79" s="41" t="n"/>
      <c r="AA79" s="41" t="n"/>
      <c r="AB79" s="41" t="n"/>
      <c r="AC79" s="41" t="n"/>
      <c r="AD79" s="41" t="n"/>
      <c r="AE79" s="41" t="n"/>
      <c r="AF79" s="51" t="n"/>
    </row>
    <row r="80" hidden="1" ht="42.75" customFormat="1" customHeight="1" s="35">
      <c r="A80" s="23" t="n"/>
      <c r="B80" s="23" t="n"/>
      <c r="C80" s="23" t="n"/>
      <c r="D80" s="23" t="n"/>
      <c r="E80" s="24" t="n"/>
      <c r="F80" s="163" t="n">
        <v>70</v>
      </c>
      <c r="G80" s="26" t="inlineStr">
        <is>
          <t>02399242474</t>
        </is>
      </c>
      <c r="H80" s="27" t="inlineStr">
        <is>
          <t>LDX</t>
        </is>
      </c>
      <c r="I80" s="169" t="inlineStr">
        <is>
          <t>ヤマト / ネコポス</t>
        </is>
      </c>
      <c r="J80" s="36" t="inlineStr">
        <is>
          <t>FX5262</t>
        </is>
      </c>
      <c r="K80" s="40" t="inlineStr">
        <is>
          <t>4-Nov</t>
        </is>
      </c>
      <c r="L80" s="198" t="n">
        <v>745</v>
      </c>
      <c r="M80" s="33" t="inlineStr">
        <is>
          <t>11/4</t>
        </is>
      </c>
      <c r="N80" s="32" t="n">
        <v>0.9743055555555555</v>
      </c>
      <c r="X80" s="33" t="n"/>
      <c r="Y80" s="23" t="n"/>
      <c r="Z80" s="23" t="n">
        <v>104</v>
      </c>
      <c r="AA80" s="23" t="n"/>
      <c r="AB80" s="23" t="n"/>
      <c r="AC80" s="23" t="n"/>
      <c r="AD80" s="23" t="n"/>
      <c r="AE80" s="23" t="n"/>
      <c r="AF80" s="34" t="n"/>
    </row>
    <row r="81" hidden="1" ht="42.75" customFormat="1" customHeight="1" s="35">
      <c r="A81" s="23" t="n"/>
      <c r="B81" s="23" t="n"/>
      <c r="C81" s="23" t="n"/>
      <c r="D81" s="23" t="n"/>
      <c r="E81" s="24" t="n"/>
      <c r="F81" s="163" t="n">
        <v>71</v>
      </c>
      <c r="G81" s="26" t="inlineStr">
        <is>
          <t>18043443960</t>
        </is>
      </c>
      <c r="H81" s="27" t="inlineStr">
        <is>
          <t>LDX</t>
        </is>
      </c>
      <c r="I81" s="169" t="inlineStr">
        <is>
          <t>ヤマト</t>
        </is>
      </c>
      <c r="J81" s="36" t="inlineStr">
        <is>
          <t>KE0723</t>
        </is>
      </c>
      <c r="K81" s="40" t="inlineStr">
        <is>
          <t>5-Nov</t>
        </is>
      </c>
      <c r="L81" s="198" t="n">
        <v>30</v>
      </c>
      <c r="M81" s="33" t="inlineStr">
        <is>
          <t>11/5</t>
        </is>
      </c>
      <c r="N81" s="32" t="n">
        <v>0.46875</v>
      </c>
      <c r="X81" s="33" t="n"/>
      <c r="Y81" s="23" t="n"/>
      <c r="Z81" s="23" t="n"/>
      <c r="AA81" s="23" t="n"/>
      <c r="AB81" s="23" t="n"/>
      <c r="AC81" s="23" t="n"/>
      <c r="AD81" s="23" t="n"/>
      <c r="AE81" s="23" t="n"/>
      <c r="AF81" s="34" t="n"/>
    </row>
    <row r="82" hidden="1" ht="42.75" customFormat="1" customHeight="1" s="35">
      <c r="A82" s="23" t="n"/>
      <c r="B82" s="23" t="n"/>
      <c r="C82" s="23" t="n"/>
      <c r="D82" s="23" t="n"/>
      <c r="E82" s="24" t="n"/>
      <c r="F82" s="163" t="n">
        <v>72</v>
      </c>
      <c r="G82" s="26" t="inlineStr">
        <is>
          <t>99433460136</t>
        </is>
      </c>
      <c r="H82" s="27" t="inlineStr">
        <is>
          <t>LDX</t>
        </is>
      </c>
      <c r="I82" s="169" t="inlineStr">
        <is>
          <t>ヤマト</t>
        </is>
      </c>
      <c r="J82" s="36" t="inlineStr">
        <is>
          <t>KJ0232</t>
        </is>
      </c>
      <c r="K82" s="40" t="inlineStr">
        <is>
          <t>4-Nov</t>
        </is>
      </c>
      <c r="L82" s="198" t="n">
        <v>201</v>
      </c>
      <c r="M82" s="33" t="inlineStr">
        <is>
          <t>11/4</t>
        </is>
      </c>
      <c r="N82" s="32" t="n">
        <v>0.7916666666666666</v>
      </c>
      <c r="X82" s="33" t="n"/>
      <c r="Y82" s="23" t="n"/>
      <c r="Z82" s="23" t="n">
        <v>75</v>
      </c>
      <c r="AA82" s="23" t="n"/>
      <c r="AB82" s="23" t="n"/>
      <c r="AC82" s="23" t="n"/>
      <c r="AD82" s="23" t="n"/>
      <c r="AE82" s="23" t="n"/>
      <c r="AF82" s="34" t="n"/>
    </row>
    <row r="83" hidden="1" ht="42.75" customFormat="1" customHeight="1" s="35">
      <c r="A83" s="23" t="n"/>
      <c r="B83" s="23" t="n"/>
      <c r="C83" s="23" t="n"/>
      <c r="D83" s="23" t="n"/>
      <c r="E83" s="24" t="n"/>
      <c r="F83" s="163" t="n">
        <v>73</v>
      </c>
      <c r="G83" s="26" t="inlineStr">
        <is>
          <t>73198537342</t>
        </is>
      </c>
      <c r="H83" s="27" t="inlineStr">
        <is>
          <t>NY</t>
        </is>
      </c>
      <c r="I83" s="169" t="inlineStr">
        <is>
          <t>ヤマト / ネコポス</t>
        </is>
      </c>
      <c r="J83" s="36" t="inlineStr">
        <is>
          <t>MF0839</t>
        </is>
      </c>
      <c r="K83" s="40" t="inlineStr">
        <is>
          <t>4-Nov</t>
        </is>
      </c>
      <c r="L83" s="198" t="n">
        <v>1501</v>
      </c>
      <c r="M83" s="33" t="inlineStr">
        <is>
          <t>11/4</t>
        </is>
      </c>
      <c r="N83" s="32" t="n">
        <v>0.7395833333333334</v>
      </c>
      <c r="X83" s="33" t="n"/>
      <c r="Y83" s="23" t="n"/>
      <c r="Z83" s="23" t="n"/>
      <c r="AA83" s="23" t="n"/>
      <c r="AB83" s="23" t="n"/>
      <c r="AC83" s="23" t="n"/>
      <c r="AD83" s="23" t="n"/>
      <c r="AE83" s="23" t="n"/>
      <c r="AF83" s="34" t="n"/>
    </row>
    <row r="84" hidden="1" ht="42.75" customFormat="1" customHeight="1" s="35">
      <c r="A84" s="23" t="n"/>
      <c r="B84" s="23" t="n"/>
      <c r="C84" s="23" t="n"/>
      <c r="D84" s="23" t="n"/>
      <c r="E84" s="24" t="n"/>
      <c r="F84" s="163" t="n">
        <v>74</v>
      </c>
      <c r="G84" s="26" t="inlineStr">
        <is>
          <t>73198513262</t>
        </is>
      </c>
      <c r="H84" s="27" t="inlineStr">
        <is>
          <t>YTO</t>
        </is>
      </c>
      <c r="I84" s="169" t="inlineStr">
        <is>
          <t>ヤマト / ネコポス / 佐川（511）</t>
        </is>
      </c>
      <c r="J84" s="36" t="inlineStr">
        <is>
          <t>MF0835</t>
        </is>
      </c>
      <c r="K84" s="40" t="inlineStr">
        <is>
          <t>5-Nov</t>
        </is>
      </c>
      <c r="L84" s="198" t="n">
        <v>1560</v>
      </c>
      <c r="M84" s="33" t="inlineStr">
        <is>
          <t>11/5</t>
        </is>
      </c>
      <c r="N84" s="32" t="n">
        <v>0.5034722222222222</v>
      </c>
      <c r="X84" s="33" t="n"/>
      <c r="Y84" s="23" t="n"/>
      <c r="Z84" s="23" t="n"/>
      <c r="AA84" s="23" t="n"/>
      <c r="AB84" s="23" t="n"/>
      <c r="AC84" s="23" t="n"/>
      <c r="AD84" s="23" t="n"/>
      <c r="AE84" s="23" t="n"/>
      <c r="AF84" s="34" t="inlineStr">
        <is>
          <t>佐川あり</t>
        </is>
      </c>
    </row>
    <row r="85" hidden="1" ht="42.75" customFormat="1" customHeight="1" s="35">
      <c r="A85" s="23" t="n"/>
      <c r="B85" s="23" t="n"/>
      <c r="C85" s="23" t="n"/>
      <c r="D85" s="23" t="n"/>
      <c r="E85" s="24" t="n"/>
      <c r="F85" s="163" t="n">
        <v>75</v>
      </c>
      <c r="G85" s="26" t="inlineStr">
        <is>
          <t>47936182241</t>
        </is>
      </c>
      <c r="H85" s="27" t="inlineStr">
        <is>
          <t>NY</t>
        </is>
      </c>
      <c r="I85" s="169" t="inlineStr">
        <is>
          <t>ヤマト / ネコポス</t>
        </is>
      </c>
      <c r="J85" s="36" t="inlineStr">
        <is>
          <t>ZH0661</t>
        </is>
      </c>
      <c r="K85" s="40" t="inlineStr">
        <is>
          <t>5-Nov</t>
        </is>
      </c>
      <c r="L85" s="198" t="n">
        <v>509</v>
      </c>
      <c r="M85" s="33" t="inlineStr">
        <is>
          <t>11/5</t>
        </is>
      </c>
      <c r="N85" s="32" t="n">
        <v>0.5868055555555556</v>
      </c>
      <c r="X85" s="33" t="n"/>
      <c r="Y85" s="23" t="n"/>
      <c r="Z85" s="23" t="n"/>
      <c r="AA85" s="23" t="n"/>
      <c r="AB85" s="23" t="n"/>
      <c r="AC85" s="23" t="n"/>
      <c r="AD85" s="23" t="n"/>
      <c r="AE85" s="23" t="n"/>
      <c r="AF85" s="34" t="n"/>
    </row>
    <row r="86" hidden="1" ht="42.75" customFormat="1" customHeight="1" s="35">
      <c r="A86" s="23" t="n"/>
      <c r="B86" s="23" t="n"/>
      <c r="C86" s="23" t="n"/>
      <c r="D86" s="23" t="n"/>
      <c r="E86" s="24" t="n"/>
      <c r="F86" s="163" t="n">
        <v>76</v>
      </c>
      <c r="G86" s="26" t="inlineStr">
        <is>
          <t>18043444446</t>
        </is>
      </c>
      <c r="H86" s="27" t="inlineStr">
        <is>
          <t>NY</t>
        </is>
      </c>
      <c r="I86" s="169" t="inlineStr">
        <is>
          <t>ヤマト</t>
        </is>
      </c>
      <c r="J86" s="36" t="inlineStr">
        <is>
          <t>KE0723</t>
        </is>
      </c>
      <c r="K86" s="40" t="inlineStr">
        <is>
          <t>5-Nov</t>
        </is>
      </c>
      <c r="L86" s="198" t="n">
        <v>340</v>
      </c>
      <c r="M86" s="33" t="inlineStr">
        <is>
          <t>11/5</t>
        </is>
      </c>
      <c r="N86" s="32" t="n">
        <v>0.46875</v>
      </c>
      <c r="X86" s="33" t="n"/>
      <c r="Y86" s="23" t="n"/>
      <c r="Z86" s="23" t="n"/>
      <c r="AA86" s="23" t="n"/>
      <c r="AB86" s="23" t="n"/>
      <c r="AC86" s="23" t="n"/>
      <c r="AD86" s="23" t="n"/>
      <c r="AE86" s="23" t="n"/>
      <c r="AF86" s="34" t="n"/>
    </row>
    <row r="87" ht="42.75" customFormat="1" customHeight="1" s="52">
      <c r="A87" s="41" t="n"/>
      <c r="B87" s="41" t="n"/>
      <c r="C87" s="41" t="n"/>
      <c r="D87" s="41" t="n"/>
      <c r="E87" s="42" t="n"/>
      <c r="F87" s="171" t="n">
        <v>77</v>
      </c>
      <c r="G87" s="44" t="inlineStr">
        <is>
          <t>78481571630</t>
        </is>
      </c>
      <c r="H87" s="45" t="inlineStr">
        <is>
          <t>CAINIAO-E</t>
        </is>
      </c>
      <c r="I87" s="177" t="inlineStr">
        <is>
          <t>ヤマト</t>
        </is>
      </c>
      <c r="J87" s="47" t="inlineStr">
        <is>
          <t>CZ0389</t>
        </is>
      </c>
      <c r="K87" s="96" t="inlineStr">
        <is>
          <t>5-Nov</t>
        </is>
      </c>
      <c r="L87" s="205" t="n">
        <v>1408</v>
      </c>
      <c r="M87" s="49" t="inlineStr">
        <is>
          <t>11/5</t>
        </is>
      </c>
      <c r="N87" s="50" t="n">
        <v>0.5416666666666666</v>
      </c>
      <c r="O87" s="206" t="n">
        <v>558</v>
      </c>
      <c r="P87" s="206" t="n">
        <v>268</v>
      </c>
      <c r="Q87" s="206" t="n">
        <v>290</v>
      </c>
      <c r="R87" s="206" t="n">
        <v>19</v>
      </c>
      <c r="S87" s="206" t="n">
        <v>30</v>
      </c>
      <c r="T87" s="206" t="n">
        <v>25</v>
      </c>
      <c r="U87" s="206" t="n">
        <v>7</v>
      </c>
      <c r="V87" s="206" t="n">
        <v>11</v>
      </c>
      <c r="W87" s="206" t="n">
        <v>28</v>
      </c>
      <c r="X87" s="49" t="n"/>
      <c r="Y87" s="41" t="n"/>
      <c r="Z87" s="41" t="n"/>
      <c r="AA87" s="41" t="n"/>
      <c r="AB87" s="41" t="n"/>
      <c r="AC87" s="41" t="n"/>
      <c r="AD87" s="41" t="n"/>
      <c r="AE87" s="41" t="n"/>
      <c r="AF87" s="51" t="n"/>
    </row>
    <row r="88" hidden="1" ht="42.75" customFormat="1" customHeight="1" s="52">
      <c r="A88" s="41" t="n"/>
      <c r="B88" s="41" t="n"/>
      <c r="C88" s="41" t="n"/>
      <c r="D88" s="41" t="n"/>
      <c r="E88" s="42" t="n"/>
      <c r="F88" s="171" t="n">
        <v>78</v>
      </c>
      <c r="G88" s="44" t="inlineStr">
        <is>
          <t>08901340953</t>
        </is>
      </c>
      <c r="H88" s="45" t="inlineStr">
        <is>
          <t>CAINIAO-E</t>
        </is>
      </c>
      <c r="I88" s="177" t="inlineStr">
        <is>
          <t>ヤマト</t>
        </is>
      </c>
      <c r="J88" s="47" t="inlineStr">
        <is>
          <t>9C6581</t>
        </is>
      </c>
      <c r="K88" s="96" t="inlineStr">
        <is>
          <t>5-Nov</t>
        </is>
      </c>
      <c r="L88" s="205" t="n">
        <v>1736</v>
      </c>
      <c r="M88" s="49" t="inlineStr">
        <is>
          <t>11/5</t>
        </is>
      </c>
      <c r="N88" s="50" t="n">
        <v>0.7708333333333334</v>
      </c>
      <c r="X88" s="49" t="n"/>
      <c r="Y88" s="41" t="n"/>
      <c r="Z88" s="41" t="n"/>
      <c r="AA88" s="41" t="n"/>
      <c r="AB88" s="41" t="n"/>
      <c r="AC88" s="41" t="n"/>
      <c r="AD88" s="41" t="n"/>
      <c r="AE88" s="41" t="n"/>
      <c r="AF88" s="51" t="n"/>
    </row>
    <row r="89" hidden="1" ht="42.75" customFormat="1" customHeight="1" s="52">
      <c r="A89" s="41" t="n"/>
      <c r="B89" s="41" t="n"/>
      <c r="C89" s="41" t="n"/>
      <c r="D89" s="41" t="n"/>
      <c r="E89" s="42" t="n"/>
      <c r="F89" s="171" t="n">
        <v>79</v>
      </c>
      <c r="G89" s="44" t="inlineStr">
        <is>
          <t>02399135234</t>
        </is>
      </c>
      <c r="H89" s="45" t="inlineStr">
        <is>
          <t>CAINIAO-E</t>
        </is>
      </c>
      <c r="I89" s="177" t="inlineStr">
        <is>
          <t>ヤマト</t>
        </is>
      </c>
      <c r="J89" s="47" t="inlineStr">
        <is>
          <t>FX5262</t>
        </is>
      </c>
      <c r="K89" s="96" t="inlineStr">
        <is>
          <t>5-Nov</t>
        </is>
      </c>
      <c r="L89" s="205" t="n">
        <v>2931</v>
      </c>
      <c r="M89" s="49" t="inlineStr">
        <is>
          <t>11/5</t>
        </is>
      </c>
      <c r="N89" s="50" t="n">
        <v>0.9743055555555555</v>
      </c>
      <c r="X89" s="49" t="n"/>
      <c r="Y89" s="41" t="n"/>
      <c r="Z89" s="41" t="n"/>
      <c r="AA89" s="41" t="n"/>
      <c r="AB89" s="41" t="n"/>
      <c r="AC89" s="41" t="n"/>
      <c r="AD89" s="41" t="n"/>
      <c r="AE89" s="41" t="n"/>
      <c r="AF89" s="51" t="n"/>
    </row>
    <row r="90" hidden="1" ht="42.75" customFormat="1" customHeight="1" s="35">
      <c r="A90" s="23" t="n"/>
      <c r="B90" s="23" t="n"/>
      <c r="C90" s="23" t="n"/>
      <c r="D90" s="23" t="n"/>
      <c r="E90" s="24" t="n"/>
      <c r="F90" s="163" t="n">
        <v>80</v>
      </c>
      <c r="G90" s="26" t="inlineStr">
        <is>
          <t>99934683585</t>
        </is>
      </c>
      <c r="H90" s="27" t="inlineStr">
        <is>
          <t>NY</t>
        </is>
      </c>
      <c r="I90" s="169" t="inlineStr">
        <is>
          <t>ヤマト</t>
        </is>
      </c>
      <c r="J90" s="36" t="inlineStr">
        <is>
          <t>CA0725</t>
        </is>
      </c>
      <c r="K90" s="40" t="inlineStr">
        <is>
          <t>5-Nov</t>
        </is>
      </c>
      <c r="L90" s="198" t="n">
        <v>311</v>
      </c>
      <c r="M90" s="33" t="inlineStr">
        <is>
          <t>11/5</t>
        </is>
      </c>
      <c r="N90" s="32" t="n">
        <v>0.46875</v>
      </c>
      <c r="X90" s="33" t="n"/>
      <c r="Y90" s="23" t="n"/>
      <c r="Z90" s="23" t="n"/>
      <c r="AA90" s="23" t="n"/>
      <c r="AB90" s="23" t="n"/>
      <c r="AC90" s="23" t="n"/>
      <c r="AD90" s="23" t="n"/>
      <c r="AE90" s="23" t="n"/>
      <c r="AF90" s="34" t="n"/>
    </row>
    <row r="91" hidden="1" ht="42.75" customFormat="1" customHeight="1" s="35">
      <c r="A91" s="23" t="n"/>
      <c r="B91" s="23" t="n"/>
      <c r="C91" s="23" t="n"/>
      <c r="D91" s="23" t="n"/>
      <c r="E91" s="24" t="n"/>
      <c r="F91" s="163" t="n">
        <v>81</v>
      </c>
      <c r="G91" s="26" t="inlineStr">
        <is>
          <t>40644238913</t>
        </is>
      </c>
      <c r="H91" s="27" t="inlineStr">
        <is>
          <t>YTO</t>
        </is>
      </c>
      <c r="I91" s="169" t="inlineStr">
        <is>
          <t>ネコポス / 佐川（715）</t>
        </is>
      </c>
      <c r="J91" s="36" t="inlineStr">
        <is>
          <t>5X0105</t>
        </is>
      </c>
      <c r="K91" s="40" t="inlineStr">
        <is>
          <t>4-Nov</t>
        </is>
      </c>
      <c r="L91" s="198" t="n">
        <v>953</v>
      </c>
      <c r="M91" s="33" t="inlineStr">
        <is>
          <t>11/4</t>
        </is>
      </c>
      <c r="N91" s="32" t="n">
        <v>0.9236111111111112</v>
      </c>
      <c r="X91" s="33" t="inlineStr">
        <is>
          <t>11/5</t>
        </is>
      </c>
      <c r="Y91" s="37" t="n">
        <v>0.2583333333333334</v>
      </c>
      <c r="Z91" s="23" t="n">
        <v>29</v>
      </c>
      <c r="AA91" s="23" t="n"/>
      <c r="AB91" s="23" t="n"/>
      <c r="AC91" s="23" t="n"/>
      <c r="AD91" s="23" t="n"/>
      <c r="AE91" s="23" t="n"/>
      <c r="AF91" s="34" t="inlineStr">
        <is>
          <t>佐川あり</t>
        </is>
      </c>
    </row>
    <row r="92" hidden="1" ht="42.75" customFormat="1" customHeight="1" s="52">
      <c r="A92" s="41" t="n"/>
      <c r="B92" s="41" t="n"/>
      <c r="C92" s="41" t="n"/>
      <c r="D92" s="41" t="n"/>
      <c r="E92" s="42" t="n"/>
      <c r="F92" s="97" t="inlineStr">
        <is>
          <t>追加</t>
        </is>
      </c>
      <c r="G92" s="44" t="inlineStr">
        <is>
          <t>40644225053</t>
        </is>
      </c>
      <c r="H92" s="45" t="inlineStr">
        <is>
          <t>CAINIAO-E</t>
        </is>
      </c>
      <c r="I92" s="177" t="inlineStr">
        <is>
          <t>ヤマト</t>
        </is>
      </c>
      <c r="J92" s="47" t="inlineStr">
        <is>
          <t>5X0105</t>
        </is>
      </c>
      <c r="K92" s="96" t="inlineStr">
        <is>
          <t>5-Nov</t>
        </is>
      </c>
      <c r="L92" s="205" t="n">
        <v>1958</v>
      </c>
      <c r="M92" s="49" t="inlineStr">
        <is>
          <t>11/5</t>
        </is>
      </c>
      <c r="N92" s="50" t="n">
        <v>0.9236111111111112</v>
      </c>
      <c r="X92" s="49" t="n"/>
      <c r="Y92" s="41" t="n"/>
      <c r="Z92" s="41" t="n"/>
      <c r="AA92" s="41" t="n"/>
      <c r="AB92" s="41" t="n"/>
      <c r="AC92" s="41" t="n"/>
      <c r="AD92" s="41" t="n"/>
      <c r="AE92" s="41" t="n"/>
      <c r="AF92" s="51" t="n"/>
    </row>
    <row r="93" hidden="1" ht="42.75" customFormat="1" customHeight="1" s="52">
      <c r="A93" s="41" t="n"/>
      <c r="B93" s="41" t="n"/>
      <c r="C93" s="41" t="n"/>
      <c r="D93" s="41" t="n"/>
      <c r="E93" s="42" t="n"/>
      <c r="F93" s="97" t="inlineStr">
        <is>
          <t>追加</t>
        </is>
      </c>
      <c r="G93" s="44" t="inlineStr">
        <is>
          <t>82856493441</t>
        </is>
      </c>
      <c r="H93" s="45" t="inlineStr">
        <is>
          <t>CAINIAO-E</t>
        </is>
      </c>
      <c r="I93" s="177" t="inlineStr">
        <is>
          <t>ヤマト</t>
        </is>
      </c>
      <c r="J93" s="47" t="inlineStr">
        <is>
          <t>HX0618</t>
        </is>
      </c>
      <c r="K93" s="96" t="inlineStr">
        <is>
          <t>5-Nov</t>
        </is>
      </c>
      <c r="L93" s="205" t="n">
        <v>1827</v>
      </c>
      <c r="M93" s="49" t="inlineStr">
        <is>
          <t>11/5</t>
        </is>
      </c>
      <c r="N93" s="50" t="n">
        <v>0.6701388888888888</v>
      </c>
      <c r="X93" s="49" t="n"/>
      <c r="Y93" s="41" t="n"/>
      <c r="Z93" s="41" t="n"/>
      <c r="AA93" s="41" t="n"/>
      <c r="AB93" s="41" t="n"/>
      <c r="AC93" s="41" t="n"/>
      <c r="AD93" s="41" t="n"/>
      <c r="AE93" s="41" t="n"/>
      <c r="AF93" s="51" t="n"/>
    </row>
    <row r="94" hidden="1" ht="42.75" customFormat="1" customHeight="1" s="35">
      <c r="A94" s="23" t="n"/>
      <c r="B94" s="23" t="n"/>
      <c r="C94" s="23" t="n"/>
      <c r="D94" s="23" t="n"/>
      <c r="E94" s="24" t="n"/>
      <c r="F94" s="98" t="inlineStr">
        <is>
          <t>追加</t>
        </is>
      </c>
      <c r="G94" s="26" t="inlineStr">
        <is>
          <t>72230142884</t>
        </is>
      </c>
      <c r="H94" s="27" t="inlineStr">
        <is>
          <t>MMA</t>
        </is>
      </c>
      <c r="I94" s="169" t="inlineStr">
        <is>
          <t>ヤマト / ネコポス</t>
        </is>
      </c>
      <c r="J94" s="36" t="inlineStr">
        <is>
          <t>TW0303</t>
        </is>
      </c>
      <c r="K94" s="40" t="inlineStr">
        <is>
          <t>5-Nov</t>
        </is>
      </c>
      <c r="L94" s="198" t="n">
        <v>125</v>
      </c>
      <c r="M94" s="33" t="inlineStr">
        <is>
          <t>11/5</t>
        </is>
      </c>
      <c r="N94" s="32" t="n">
        <v>0.5868055555555556</v>
      </c>
      <c r="X94" s="33" t="n"/>
      <c r="Y94" s="23" t="n"/>
      <c r="Z94" s="23" t="n"/>
      <c r="AA94" s="23" t="n"/>
      <c r="AB94" s="23" t="n"/>
      <c r="AC94" s="23" t="n"/>
      <c r="AD94" s="23" t="n"/>
      <c r="AE94" s="23" t="n"/>
      <c r="AF94" s="34" t="n"/>
    </row>
    <row r="95" hidden="1" ht="42.75" customFormat="1" customHeight="1" s="90">
      <c r="A95" s="79" t="n"/>
      <c r="B95" s="79" t="n"/>
      <c r="C95" s="79" t="n"/>
      <c r="D95" s="79" t="n"/>
      <c r="E95" s="80" t="n"/>
      <c r="F95" s="99" t="inlineStr">
        <is>
          <t>追加</t>
        </is>
      </c>
      <c r="G95" s="82" t="inlineStr">
        <is>
          <t>18043452942</t>
        </is>
      </c>
      <c r="H95" s="83" t="inlineStr">
        <is>
          <t>MMA-CN</t>
        </is>
      </c>
      <c r="I95" s="84" t="inlineStr">
        <is>
          <t>ヤマト</t>
        </is>
      </c>
      <c r="J95" s="85" t="inlineStr">
        <is>
          <t>KE0723</t>
        </is>
      </c>
      <c r="K95" s="100" t="inlineStr">
        <is>
          <t>6-Nov</t>
        </is>
      </c>
      <c r="L95" s="211" t="n">
        <v>1167</v>
      </c>
      <c r="M95" s="87" t="inlineStr">
        <is>
          <t>11/6</t>
        </is>
      </c>
      <c r="N95" s="88" t="n">
        <v>0.46875</v>
      </c>
      <c r="X95" s="87" t="n"/>
      <c r="Y95" s="79" t="n"/>
      <c r="Z95" s="79" t="n"/>
      <c r="AA95" s="79" t="n"/>
      <c r="AB95" s="79" t="n"/>
      <c r="AC95" s="79" t="n"/>
      <c r="AD95" s="79" t="n"/>
      <c r="AE95" s="79" t="n"/>
      <c r="AF95" s="89" t="n"/>
    </row>
    <row r="96" hidden="1" ht="42.75" customFormat="1" customHeight="1" s="90">
      <c r="A96" s="79" t="n"/>
      <c r="B96" s="79" t="n"/>
      <c r="C96" s="79" t="n"/>
      <c r="D96" s="79" t="n"/>
      <c r="E96" s="80" t="n"/>
      <c r="F96" s="99" t="inlineStr">
        <is>
          <t>追加</t>
        </is>
      </c>
      <c r="G96" s="82" t="inlineStr">
        <is>
          <t>18043452953</t>
        </is>
      </c>
      <c r="H96" s="83" t="inlineStr">
        <is>
          <t>MMA-CN</t>
        </is>
      </c>
      <c r="I96" s="84" t="inlineStr">
        <is>
          <t>ヤマト</t>
        </is>
      </c>
      <c r="J96" s="85" t="inlineStr">
        <is>
          <t>KE0723</t>
        </is>
      </c>
      <c r="K96" s="100" t="inlineStr">
        <is>
          <t>6-Nov</t>
        </is>
      </c>
      <c r="L96" s="211" t="n">
        <v>2995</v>
      </c>
      <c r="M96" s="87" t="inlineStr">
        <is>
          <t>11/6</t>
        </is>
      </c>
      <c r="N96" s="88" t="n">
        <v>0.46875</v>
      </c>
      <c r="X96" s="87" t="n"/>
      <c r="Y96" s="79" t="n"/>
      <c r="Z96" s="79" t="n"/>
      <c r="AA96" s="79" t="n"/>
      <c r="AB96" s="79" t="n"/>
      <c r="AC96" s="79" t="n"/>
      <c r="AD96" s="79" t="n"/>
      <c r="AE96" s="79" t="n"/>
      <c r="AF96" s="89" t="n"/>
    </row>
    <row r="97" hidden="1" ht="42.75" customFormat="1" customHeight="1" s="35">
      <c r="A97" s="23" t="n"/>
      <c r="B97" s="23" t="n"/>
      <c r="C97" s="23" t="n"/>
      <c r="D97" s="23" t="n"/>
      <c r="E97" s="24" t="n"/>
      <c r="F97" s="98" t="inlineStr">
        <is>
          <t>追加</t>
        </is>
      </c>
      <c r="G97" s="26" t="inlineStr">
        <is>
          <t>11239808296</t>
        </is>
      </c>
      <c r="H97" s="27" t="inlineStr">
        <is>
          <t>RG</t>
        </is>
      </c>
      <c r="I97" s="169" t="inlineStr">
        <is>
          <t>ヤマト/　佐川(165)</t>
        </is>
      </c>
      <c r="J97" s="36" t="inlineStr">
        <is>
          <t>MU5077</t>
        </is>
      </c>
      <c r="K97" s="40" t="inlineStr">
        <is>
          <t>5-Nov</t>
        </is>
      </c>
      <c r="L97" s="198" t="n">
        <v>209</v>
      </c>
      <c r="M97" s="33" t="inlineStr">
        <is>
          <t>11/5</t>
        </is>
      </c>
      <c r="N97" s="32" t="n">
        <v>0.5305555555555556</v>
      </c>
      <c r="X97" s="33" t="n"/>
      <c r="Y97" s="23" t="n"/>
      <c r="Z97" s="23" t="n"/>
      <c r="AA97" s="23" t="n"/>
      <c r="AB97" s="23" t="n"/>
      <c r="AC97" s="23" t="n"/>
      <c r="AD97" s="23" t="n"/>
      <c r="AE97" s="23" t="n"/>
      <c r="AF97" s="34" t="n"/>
    </row>
    <row r="98" hidden="1" ht="42.75" customFormat="1" customHeight="1" s="90">
      <c r="A98" s="79" t="n"/>
      <c r="B98" s="79" t="n"/>
      <c r="C98" s="79" t="n"/>
      <c r="D98" s="79" t="n"/>
      <c r="E98" s="80" t="n"/>
      <c r="F98" s="99" t="inlineStr">
        <is>
          <t>追加</t>
        </is>
      </c>
      <c r="G98" s="82" t="inlineStr">
        <is>
          <t>82817704610</t>
        </is>
      </c>
      <c r="H98" s="83" t="inlineStr">
        <is>
          <t>MMA-CN</t>
        </is>
      </c>
      <c r="I98" s="84" t="inlineStr">
        <is>
          <t>ヤマト</t>
        </is>
      </c>
      <c r="J98" s="85" t="inlineStr">
        <is>
          <t>HX0614</t>
        </is>
      </c>
      <c r="K98" s="100" t="inlineStr">
        <is>
          <t>5-Nov</t>
        </is>
      </c>
      <c r="L98" s="211" t="n">
        <v>398</v>
      </c>
      <c r="M98" s="87" t="inlineStr">
        <is>
          <t>11/5</t>
        </is>
      </c>
      <c r="N98" s="88" t="n">
        <v>0.5868055555555556</v>
      </c>
      <c r="X98" s="87" t="n"/>
      <c r="Y98" s="79" t="n"/>
      <c r="Z98" s="79" t="n"/>
      <c r="AA98" s="79" t="n"/>
      <c r="AB98" s="79" t="n"/>
      <c r="AC98" s="79" t="n"/>
      <c r="AD98" s="79" t="n"/>
      <c r="AE98" s="79" t="n"/>
      <c r="AF98" s="89" t="n"/>
    </row>
    <row r="99" hidden="1" ht="42.75" customFormat="1" customHeight="1" s="35">
      <c r="A99" s="23" t="n"/>
      <c r="B99" s="23" t="n"/>
      <c r="C99" s="23" t="n"/>
      <c r="D99" s="23" t="n"/>
      <c r="E99" s="24" t="n"/>
      <c r="F99" s="98" t="inlineStr">
        <is>
          <t>追加</t>
        </is>
      </c>
      <c r="G99" s="26" t="inlineStr">
        <is>
          <t>08901343952</t>
        </is>
      </c>
      <c r="H99" s="27" t="inlineStr">
        <is>
          <t>CNE</t>
        </is>
      </c>
      <c r="I99" s="169" t="inlineStr">
        <is>
          <t>ヤマト</t>
        </is>
      </c>
      <c r="J99" s="36" t="inlineStr">
        <is>
          <t>9C6575</t>
        </is>
      </c>
      <c r="K99" s="40" t="inlineStr">
        <is>
          <t>5-Nov</t>
        </is>
      </c>
      <c r="L99" s="198" t="n">
        <v>1562</v>
      </c>
      <c r="M99" s="33" t="inlineStr">
        <is>
          <t>11/5</t>
        </is>
      </c>
      <c r="N99" s="32" t="n">
        <v>0.4597222222222222</v>
      </c>
      <c r="X99" s="33" t="n"/>
      <c r="Y99" s="23" t="n"/>
      <c r="Z99" s="23" t="n"/>
      <c r="AA99" s="23" t="n"/>
      <c r="AB99" s="23" t="n"/>
      <c r="AC99" s="23" t="n"/>
      <c r="AD99" s="23" t="n"/>
      <c r="AE99" s="23" t="n"/>
      <c r="AF99" s="34" t="n"/>
    </row>
    <row r="100" hidden="1" ht="42.75" customFormat="1" customHeight="1" s="35">
      <c r="A100" s="23" t="n"/>
      <c r="B100" s="23" t="n"/>
      <c r="C100" s="23" t="n"/>
      <c r="D100" s="23" t="n"/>
      <c r="E100" s="24" t="n"/>
      <c r="F100" s="98" t="inlineStr">
        <is>
          <t>追加</t>
        </is>
      </c>
      <c r="G100" s="26" t="inlineStr">
        <is>
          <t>08901340986</t>
        </is>
      </c>
      <c r="H100" s="27" t="inlineStr">
        <is>
          <t>CNE</t>
        </is>
      </c>
      <c r="I100" s="169" t="inlineStr">
        <is>
          <t>ヤマト</t>
        </is>
      </c>
      <c r="J100" s="36" t="inlineStr">
        <is>
          <t>9C6581</t>
        </is>
      </c>
      <c r="K100" s="40" t="inlineStr">
        <is>
          <t>5-Nov</t>
        </is>
      </c>
      <c r="L100" s="198" t="n">
        <v>239</v>
      </c>
      <c r="M100" s="33" t="inlineStr">
        <is>
          <t>11/5</t>
        </is>
      </c>
      <c r="N100" s="32" t="n">
        <v>0.7694444444444445</v>
      </c>
      <c r="X100" s="33" t="n"/>
      <c r="Y100" s="23" t="n"/>
      <c r="Z100" s="23" t="n"/>
      <c r="AA100" s="23" t="n"/>
      <c r="AB100" s="23" t="n"/>
      <c r="AC100" s="23" t="n"/>
      <c r="AD100" s="23" t="n"/>
      <c r="AE100" s="23" t="n"/>
      <c r="AF100" s="34" t="n"/>
    </row>
    <row r="101" ht="42.75" customFormat="1" customHeight="1" s="35">
      <c r="A101" s="23" t="n"/>
      <c r="B101" s="23" t="n"/>
      <c r="C101" s="23" t="n"/>
      <c r="D101" s="23" t="n"/>
      <c r="E101" s="24" t="n"/>
      <c r="F101" s="98" t="inlineStr">
        <is>
          <t>追加</t>
        </is>
      </c>
      <c r="G101" s="26" t="inlineStr">
        <is>
          <t>78441582004</t>
        </is>
      </c>
      <c r="H101" s="27" t="inlineStr">
        <is>
          <t>CNE</t>
        </is>
      </c>
      <c r="I101" s="169" t="inlineStr">
        <is>
          <t>ヤマト / ネコポス</t>
        </is>
      </c>
      <c r="J101" s="36" t="inlineStr">
        <is>
          <t>CZ8105</t>
        </is>
      </c>
      <c r="K101" s="40" t="inlineStr">
        <is>
          <t>5-Nov</t>
        </is>
      </c>
      <c r="L101" s="198" t="n">
        <v>1373</v>
      </c>
      <c r="M101" s="33" t="inlineStr">
        <is>
          <t>11/5</t>
        </is>
      </c>
      <c r="N101" s="32" t="n">
        <v>0.6597222222222222</v>
      </c>
      <c r="O101" s="206" t="n">
        <v>16</v>
      </c>
      <c r="P101" s="206" t="n">
        <v>16</v>
      </c>
      <c r="Q101" s="206" t="n">
        <v>0</v>
      </c>
      <c r="R101" s="206" t="n">
        <v>0</v>
      </c>
      <c r="S101" s="206" t="n">
        <v>0</v>
      </c>
      <c r="T101" s="206" t="n">
        <v>0</v>
      </c>
      <c r="U101" s="206" t="n">
        <v>0</v>
      </c>
      <c r="V101" s="206" t="n">
        <v>0</v>
      </c>
      <c r="W101" s="206" t="n">
        <v>0</v>
      </c>
      <c r="X101" s="33" t="n"/>
      <c r="Y101" s="23" t="n"/>
      <c r="Z101" s="23" t="n"/>
      <c r="AA101" s="23" t="n"/>
      <c r="AB101" s="23" t="n"/>
      <c r="AC101" s="23" t="n"/>
      <c r="AD101" s="23" t="n"/>
      <c r="AE101" s="23" t="n"/>
      <c r="AF101" s="34" t="n"/>
    </row>
    <row r="102" hidden="1" ht="42.75" customFormat="1" customHeight="1" s="35">
      <c r="A102" s="23" t="n"/>
      <c r="B102" s="23" t="n"/>
      <c r="C102" s="23" t="n"/>
      <c r="D102" s="23" t="n"/>
      <c r="E102" s="24" t="n"/>
      <c r="F102" s="98" t="inlineStr">
        <is>
          <t>追加</t>
        </is>
      </c>
      <c r="G102" s="26" t="inlineStr">
        <is>
          <t>90892086341</t>
        </is>
      </c>
      <c r="H102" s="27" t="inlineStr">
        <is>
          <t>YTO</t>
        </is>
      </c>
      <c r="I102" s="169" t="inlineStr">
        <is>
          <t>佐川</t>
        </is>
      </c>
      <c r="J102" s="36" t="inlineStr">
        <is>
          <t>GI4115</t>
        </is>
      </c>
      <c r="K102" s="40" t="inlineStr">
        <is>
          <t>7-Nov</t>
        </is>
      </c>
      <c r="L102" s="198" t="n">
        <v>716</v>
      </c>
      <c r="M102" s="33" t="inlineStr">
        <is>
          <t>11/7</t>
        </is>
      </c>
      <c r="N102" s="32" t="n">
        <v>0.2083333333333333</v>
      </c>
      <c r="X102" s="33" t="n"/>
      <c r="Y102" s="23" t="n"/>
      <c r="Z102" s="23" t="n"/>
      <c r="AA102" s="23" t="n"/>
      <c r="AB102" s="23" t="n"/>
      <c r="AC102" s="23" t="n"/>
      <c r="AD102" s="23" t="n"/>
      <c r="AE102" s="23" t="n"/>
      <c r="AF102" s="34" t="inlineStr">
        <is>
          <t>佐川あり</t>
        </is>
      </c>
    </row>
    <row r="103" hidden="1" ht="42.75" customFormat="1" customHeight="1" s="35">
      <c r="A103" s="23" t="n"/>
      <c r="B103" s="23" t="n"/>
      <c r="C103" s="23" t="n"/>
      <c r="D103" s="23" t="n"/>
      <c r="E103" s="24" t="n"/>
      <c r="F103" s="98" t="inlineStr">
        <is>
          <t>追加</t>
        </is>
      </c>
      <c r="G103" s="26" t="inlineStr">
        <is>
          <t>32402884125</t>
        </is>
      </c>
      <c r="H103" s="27" t="inlineStr">
        <is>
          <t>YTO</t>
        </is>
      </c>
      <c r="I103" s="169" t="inlineStr">
        <is>
          <t>佐川</t>
        </is>
      </c>
      <c r="J103" s="36" t="inlineStr">
        <is>
          <t>SC4093</t>
        </is>
      </c>
      <c r="K103" s="40" t="inlineStr">
        <is>
          <t>5-Nov</t>
        </is>
      </c>
      <c r="L103" s="198" t="n">
        <v>215</v>
      </c>
      <c r="M103" s="33" t="inlineStr">
        <is>
          <t>11/5</t>
        </is>
      </c>
      <c r="N103" s="32" t="n">
        <v>0.6805555555555556</v>
      </c>
      <c r="X103" s="33" t="n"/>
      <c r="Y103" s="23" t="n"/>
      <c r="Z103" s="23" t="n"/>
      <c r="AA103" s="23" t="n"/>
      <c r="AB103" s="23" t="n"/>
      <c r="AC103" s="23" t="n"/>
      <c r="AD103" s="23" t="n"/>
      <c r="AE103" s="23" t="n"/>
      <c r="AF103" s="34" t="inlineStr">
        <is>
          <t>佐川あり</t>
        </is>
      </c>
    </row>
    <row r="104" hidden="1" ht="42.75" customFormat="1" customHeight="1" s="35">
      <c r="A104" s="23" t="n"/>
      <c r="B104" s="23" t="n"/>
      <c r="C104" s="23" t="n"/>
      <c r="D104" s="23" t="n"/>
      <c r="E104" s="24" t="n"/>
      <c r="F104" s="98" t="inlineStr">
        <is>
          <t>追加</t>
        </is>
      </c>
      <c r="G104" s="26" t="inlineStr">
        <is>
          <t>16002216303</t>
        </is>
      </c>
      <c r="H104" s="27" t="inlineStr">
        <is>
          <t>YTO</t>
        </is>
      </c>
      <c r="I104" s="169" t="inlineStr">
        <is>
          <t>佐川</t>
        </is>
      </c>
      <c r="J104" s="36" t="inlineStr">
        <is>
          <t>CX2036</t>
        </is>
      </c>
      <c r="K104" s="40" t="inlineStr">
        <is>
          <t>5-Nov</t>
        </is>
      </c>
      <c r="L104" s="198" t="n">
        <v>298</v>
      </c>
      <c r="M104" s="33" t="inlineStr">
        <is>
          <t>11/5</t>
        </is>
      </c>
      <c r="N104" s="32" t="n">
        <v>0.6777777777777778</v>
      </c>
      <c r="X104" s="33" t="n"/>
      <c r="Y104" s="23" t="n"/>
      <c r="Z104" s="23" t="n"/>
      <c r="AA104" s="23" t="n"/>
      <c r="AB104" s="23" t="n"/>
      <c r="AC104" s="23" t="n"/>
      <c r="AD104" s="23" t="n"/>
      <c r="AE104" s="23" t="n"/>
      <c r="AF104" s="34" t="inlineStr">
        <is>
          <t>佐川あり</t>
        </is>
      </c>
    </row>
    <row r="105" hidden="1" ht="42.75" customFormat="1" customHeight="1" s="35">
      <c r="A105" s="23" t="n"/>
      <c r="B105" s="23" t="n"/>
      <c r="C105" s="23" t="n"/>
      <c r="D105" s="23" t="n"/>
      <c r="E105" s="24" t="n"/>
      <c r="F105" s="98" t="inlineStr">
        <is>
          <t>追加</t>
        </is>
      </c>
      <c r="G105" s="26" t="inlineStr">
        <is>
          <t>01892093746</t>
        </is>
      </c>
      <c r="H105" s="27" t="inlineStr">
        <is>
          <t>CNE</t>
        </is>
      </c>
      <c r="I105" s="169" t="inlineStr">
        <is>
          <t>ヤマト</t>
        </is>
      </c>
      <c r="J105" s="36" t="inlineStr">
        <is>
          <t>HO1505</t>
        </is>
      </c>
      <c r="K105" s="40" t="inlineStr">
        <is>
          <t>5-Nov</t>
        </is>
      </c>
      <c r="L105" s="198" t="n">
        <v>659</v>
      </c>
      <c r="M105" s="33" t="inlineStr">
        <is>
          <t>11/5</t>
        </is>
      </c>
      <c r="N105" s="32" t="n">
        <v>0.4583333333333333</v>
      </c>
      <c r="X105" s="33" t="n"/>
      <c r="Y105" s="23" t="n"/>
      <c r="Z105" s="23" t="n"/>
      <c r="AA105" s="23" t="n"/>
      <c r="AB105" s="23" t="n"/>
      <c r="AC105" s="23" t="n"/>
      <c r="AD105" s="23" t="n"/>
      <c r="AE105" s="23" t="n"/>
      <c r="AF105" s="34" t="n"/>
    </row>
    <row r="106" hidden="1" ht="42.75" customFormat="1" customHeight="1" s="35">
      <c r="A106" s="23" t="n"/>
      <c r="B106" s="23" t="n"/>
      <c r="C106" s="23" t="n"/>
      <c r="D106" s="23" t="n"/>
      <c r="E106" s="24" t="n"/>
      <c r="F106" s="98" t="inlineStr">
        <is>
          <t>追加</t>
        </is>
      </c>
      <c r="G106" s="26" t="inlineStr">
        <is>
          <t>47935695575</t>
        </is>
      </c>
      <c r="H106" s="27" t="inlineStr">
        <is>
          <t>MMA</t>
        </is>
      </c>
      <c r="I106" s="169" t="inlineStr">
        <is>
          <t>ヤマト</t>
        </is>
      </c>
      <c r="J106" s="36" t="inlineStr">
        <is>
          <t>ZH0685</t>
        </is>
      </c>
      <c r="K106" s="40" t="inlineStr">
        <is>
          <t>5-Nov</t>
        </is>
      </c>
      <c r="L106" s="198" t="n">
        <v>143</v>
      </c>
      <c r="M106" s="33" t="inlineStr">
        <is>
          <t>11/5</t>
        </is>
      </c>
      <c r="N106" s="32" t="n">
        <v>0.5069444444444444</v>
      </c>
      <c r="X106" s="33" t="n"/>
      <c r="Y106" s="23" t="n"/>
      <c r="Z106" s="23" t="n"/>
      <c r="AA106" s="23" t="n"/>
      <c r="AB106" s="23" t="n"/>
      <c r="AC106" s="23" t="n"/>
      <c r="AD106" s="23" t="n"/>
      <c r="AE106" s="23" t="n"/>
      <c r="AF106" s="34" t="n"/>
    </row>
    <row r="107" hidden="1" ht="42.75" customFormat="1" customHeight="1" s="35">
      <c r="A107" s="23" t="n"/>
      <c r="B107" s="23" t="n"/>
      <c r="C107" s="23" t="n"/>
      <c r="D107" s="23" t="n"/>
      <c r="E107" s="24" t="n"/>
      <c r="F107" s="98" t="inlineStr">
        <is>
          <t>追加</t>
        </is>
      </c>
      <c r="G107" s="26" t="inlineStr">
        <is>
          <t>32402883871</t>
        </is>
      </c>
      <c r="H107" s="27" t="inlineStr">
        <is>
          <t>NY</t>
        </is>
      </c>
      <c r="I107" s="169" t="inlineStr">
        <is>
          <t>ヤマト / ネコポス</t>
        </is>
      </c>
      <c r="J107" s="36" t="inlineStr">
        <is>
          <t>SC2433</t>
        </is>
      </c>
      <c r="K107" s="40" t="inlineStr">
        <is>
          <t>5-Nov</t>
        </is>
      </c>
      <c r="L107" s="198" t="n">
        <v>1253</v>
      </c>
      <c r="M107" s="33" t="inlineStr">
        <is>
          <t>11/5</t>
        </is>
      </c>
      <c r="N107" s="32" t="n">
        <v>0.3680555555555556</v>
      </c>
      <c r="X107" s="33" t="n"/>
      <c r="Y107" s="23" t="n"/>
      <c r="Z107" s="23" t="n">
        <v>55</v>
      </c>
      <c r="AA107" s="23" t="n"/>
      <c r="AB107" s="23" t="n"/>
      <c r="AC107" s="23" t="n"/>
      <c r="AD107" s="23" t="n"/>
      <c r="AE107" s="23" t="n"/>
      <c r="AF107" s="34" t="n"/>
    </row>
    <row r="108" hidden="1" ht="42.75" customFormat="1" customHeight="1" s="35">
      <c r="A108" s="23" t="n"/>
      <c r="B108" s="23" t="n"/>
      <c r="C108" s="23" t="n"/>
      <c r="D108" s="23" t="n"/>
      <c r="E108" s="24" t="n"/>
      <c r="F108" s="98" t="inlineStr">
        <is>
          <t>追加</t>
        </is>
      </c>
      <c r="G108" s="26" t="inlineStr">
        <is>
          <t>92149451964</t>
        </is>
      </c>
      <c r="H108" s="27" t="inlineStr">
        <is>
          <t>NY</t>
        </is>
      </c>
      <c r="I108" s="169" t="inlineStr">
        <is>
          <t>ヤマト</t>
        </is>
      </c>
      <c r="J108" s="36" t="inlineStr">
        <is>
          <t>O30277</t>
        </is>
      </c>
      <c r="K108" s="40" t="inlineStr">
        <is>
          <t>5-Nov</t>
        </is>
      </c>
      <c r="L108" s="198" t="n">
        <v>749</v>
      </c>
      <c r="M108" s="33" t="inlineStr">
        <is>
          <t>11/5</t>
        </is>
      </c>
      <c r="N108" s="32" t="n">
        <v>0.5486111111111112</v>
      </c>
      <c r="X108" s="33" t="n"/>
      <c r="Y108" s="23" t="n"/>
      <c r="Z108" s="23" t="n"/>
      <c r="AA108" s="23" t="n"/>
      <c r="AB108" s="23" t="n"/>
      <c r="AC108" s="23" t="n"/>
      <c r="AD108" s="23" t="n"/>
      <c r="AE108" s="23" t="n"/>
      <c r="AF108" s="101" t="inlineStr">
        <is>
          <t>緊急依頼済み</t>
        </is>
      </c>
    </row>
    <row r="109" hidden="1" ht="42.75" customFormat="1" customHeight="1" s="35">
      <c r="A109" s="23" t="n"/>
      <c r="B109" s="23" t="n"/>
      <c r="C109" s="23" t="n"/>
      <c r="D109" s="23" t="n"/>
      <c r="E109" s="24" t="n"/>
      <c r="F109" s="98" t="inlineStr">
        <is>
          <t>追加</t>
        </is>
      </c>
      <c r="G109" s="26" t="inlineStr">
        <is>
          <t>92149766555</t>
        </is>
      </c>
      <c r="H109" s="27" t="inlineStr">
        <is>
          <t>YTO</t>
        </is>
      </c>
      <c r="I109" s="169" t="inlineStr">
        <is>
          <t>佐川</t>
        </is>
      </c>
      <c r="J109" s="36" t="inlineStr">
        <is>
          <t>O30277</t>
        </is>
      </c>
      <c r="K109" s="40" t="inlineStr">
        <is>
          <t>5-Nov</t>
        </is>
      </c>
      <c r="L109" s="198" t="n">
        <v>413</v>
      </c>
      <c r="M109" s="33" t="inlineStr">
        <is>
          <t>11/5</t>
        </is>
      </c>
      <c r="N109" s="32" t="n">
        <v>0.5486111111111112</v>
      </c>
      <c r="X109" s="33" t="n"/>
      <c r="Y109" s="23" t="n"/>
      <c r="Z109" s="23" t="n"/>
      <c r="AA109" s="23" t="n"/>
      <c r="AB109" s="23" t="n"/>
      <c r="AC109" s="23" t="n"/>
      <c r="AD109" s="23" t="n"/>
      <c r="AE109" s="23" t="n"/>
      <c r="AF109" s="34" t="inlineStr">
        <is>
          <t>佐川あり</t>
        </is>
      </c>
    </row>
    <row r="110" hidden="1" ht="42.75" customFormat="1" customHeight="1" s="35">
      <c r="A110" s="23" t="n"/>
      <c r="B110" s="23" t="n"/>
      <c r="C110" s="23" t="n"/>
      <c r="D110" s="23" t="n"/>
      <c r="E110" s="24" t="n"/>
      <c r="F110" s="98" t="inlineStr">
        <is>
          <t>追加</t>
        </is>
      </c>
      <c r="G110" s="26" t="inlineStr">
        <is>
          <t>01892026502</t>
        </is>
      </c>
      <c r="H110" s="27" t="inlineStr">
        <is>
          <t>MMA</t>
        </is>
      </c>
      <c r="I110" s="169" t="inlineStr">
        <is>
          <t>ヤマト</t>
        </is>
      </c>
      <c r="J110" s="36" t="inlineStr">
        <is>
          <t>HO1619</t>
        </is>
      </c>
      <c r="K110" s="40" t="inlineStr">
        <is>
          <t>5-Nov</t>
        </is>
      </c>
      <c r="L110" s="198" t="n">
        <v>161</v>
      </c>
      <c r="M110" s="33" t="inlineStr">
        <is>
          <t>11/5</t>
        </is>
      </c>
      <c r="N110" s="32" t="n">
        <v>0.625</v>
      </c>
      <c r="X110" s="33" t="n"/>
      <c r="Y110" s="23" t="n"/>
      <c r="Z110" s="23" t="n"/>
      <c r="AA110" s="23" t="n"/>
      <c r="AB110" s="23" t="n"/>
      <c r="AC110" s="23" t="n"/>
      <c r="AD110" s="23" t="n"/>
      <c r="AE110" s="23" t="n"/>
      <c r="AF110" s="34" t="n"/>
    </row>
    <row r="111" hidden="1" ht="42.75" customFormat="1" customHeight="1" s="35">
      <c r="A111" s="23" t="n"/>
      <c r="B111" s="23" t="n"/>
      <c r="C111" s="23" t="n"/>
      <c r="D111" s="23" t="n"/>
      <c r="E111" s="24" t="n"/>
      <c r="F111" s="98" t="inlineStr">
        <is>
          <t>追加</t>
        </is>
      </c>
      <c r="G111" s="26" t="inlineStr">
        <is>
          <t>16003137853</t>
        </is>
      </c>
      <c r="H111" s="27" t="inlineStr">
        <is>
          <t>YTO</t>
        </is>
      </c>
      <c r="I111" s="169" t="inlineStr">
        <is>
          <t>佐川</t>
        </is>
      </c>
      <c r="J111" s="36" t="inlineStr">
        <is>
          <t>LD0204</t>
        </is>
      </c>
      <c r="K111" s="40" t="inlineStr">
        <is>
          <t>5-Nov</t>
        </is>
      </c>
      <c r="L111" s="198" t="n">
        <v>277</v>
      </c>
      <c r="M111" s="33" t="inlineStr">
        <is>
          <t>11/5</t>
        </is>
      </c>
      <c r="N111" s="32" t="n">
        <v>0.3604166666666667</v>
      </c>
      <c r="X111" s="33" t="n"/>
      <c r="Y111" s="23" t="n"/>
      <c r="Z111" s="23" t="n"/>
      <c r="AA111" s="23" t="n"/>
      <c r="AB111" s="23" t="n"/>
      <c r="AC111" s="23" t="n"/>
      <c r="AD111" s="23" t="n"/>
      <c r="AE111" s="23" t="n"/>
      <c r="AF111" s="34" t="inlineStr">
        <is>
          <t>佐川あり</t>
        </is>
      </c>
    </row>
    <row r="112" hidden="1" ht="42.75" customFormat="1" customHeight="1" s="35">
      <c r="A112" s="23" t="n"/>
      <c r="B112" s="23" t="n"/>
      <c r="C112" s="23" t="n"/>
      <c r="D112" s="23" t="n"/>
      <c r="E112" s="24" t="n"/>
      <c r="F112" s="98" t="inlineStr">
        <is>
          <t>追加</t>
        </is>
      </c>
      <c r="G112" s="26" t="inlineStr">
        <is>
          <t>89100130023</t>
        </is>
      </c>
      <c r="H112" s="27" t="inlineStr">
        <is>
          <t>YTO</t>
        </is>
      </c>
      <c r="I112" s="169" t="inlineStr">
        <is>
          <t>ヤマト / ネコポス / 佐川（104）</t>
        </is>
      </c>
      <c r="J112" s="36" t="inlineStr">
        <is>
          <t>GJ8077</t>
        </is>
      </c>
      <c r="K112" s="40" t="inlineStr">
        <is>
          <t>5-Nov</t>
        </is>
      </c>
      <c r="L112" s="198" t="n">
        <v>343</v>
      </c>
      <c r="M112" s="33" t="inlineStr">
        <is>
          <t>11/5</t>
        </is>
      </c>
      <c r="N112" s="32" t="n">
        <v>0.6979166666666666</v>
      </c>
      <c r="X112" s="33" t="n"/>
      <c r="Y112" s="23" t="n"/>
      <c r="Z112" s="23" t="n"/>
      <c r="AA112" s="23" t="n"/>
      <c r="AB112" s="23" t="n"/>
      <c r="AC112" s="23" t="n"/>
      <c r="AD112" s="23" t="n"/>
      <c r="AE112" s="23" t="n"/>
      <c r="AF112" s="34" t="inlineStr">
        <is>
          <t>佐川あり</t>
        </is>
      </c>
    </row>
    <row r="113" hidden="1" ht="42.75" customFormat="1" customHeight="1" s="35">
      <c r="A113" s="23" t="n"/>
      <c r="B113" s="23" t="n"/>
      <c r="C113" s="23" t="n"/>
      <c r="D113" s="23" t="n"/>
      <c r="E113" s="24" t="n"/>
      <c r="F113" s="98" t="inlineStr">
        <is>
          <t>追加</t>
        </is>
      </c>
      <c r="G113" s="26" t="inlineStr">
        <is>
          <t>89100130034</t>
        </is>
      </c>
      <c r="H113" s="27" t="inlineStr">
        <is>
          <t>YTO</t>
        </is>
      </c>
      <c r="I113" s="169" t="inlineStr">
        <is>
          <t>佐川</t>
        </is>
      </c>
      <c r="J113" s="36" t="inlineStr">
        <is>
          <t>GJ8077</t>
        </is>
      </c>
      <c r="K113" s="40" t="inlineStr">
        <is>
          <t>5-Nov</t>
        </is>
      </c>
      <c r="L113" s="198" t="n">
        <v>101</v>
      </c>
      <c r="M113" s="33" t="inlineStr">
        <is>
          <t>11/5</t>
        </is>
      </c>
      <c r="N113" s="32" t="n">
        <v>0.6979166666666666</v>
      </c>
      <c r="X113" s="33" t="n"/>
      <c r="Y113" s="23" t="n"/>
      <c r="Z113" s="23" t="n"/>
      <c r="AA113" s="23" t="n"/>
      <c r="AB113" s="23" t="n"/>
      <c r="AC113" s="23" t="n"/>
      <c r="AD113" s="23" t="n"/>
      <c r="AE113" s="23" t="n"/>
      <c r="AF113" s="34" t="inlineStr">
        <is>
          <t>佐川あり</t>
        </is>
      </c>
    </row>
    <row r="114" ht="42.75" customFormat="1" customHeight="1" s="52">
      <c r="A114" s="41" t="n"/>
      <c r="B114" s="41" t="n"/>
      <c r="C114" s="41" t="n"/>
      <c r="D114" s="41" t="n"/>
      <c r="E114" s="42" t="n"/>
      <c r="F114" s="97" t="inlineStr">
        <is>
          <t>追加</t>
        </is>
      </c>
      <c r="G114" s="44" t="inlineStr">
        <is>
          <t>87711331530</t>
        </is>
      </c>
      <c r="H114" s="45" t="inlineStr">
        <is>
          <t>CAINIAO-E</t>
        </is>
      </c>
      <c r="I114" s="177" t="inlineStr">
        <is>
          <t>ヤマト</t>
        </is>
      </c>
      <c r="J114" s="47" t="inlineStr">
        <is>
          <t>HT3867</t>
        </is>
      </c>
      <c r="K114" s="96" t="inlineStr">
        <is>
          <t>5-Nov</t>
        </is>
      </c>
      <c r="L114" s="205" t="n">
        <v>831</v>
      </c>
      <c r="M114" s="49" t="inlineStr">
        <is>
          <t>11/5</t>
        </is>
      </c>
      <c r="N114" s="50" t="n">
        <v>0.07361111111111111</v>
      </c>
      <c r="O114" s="206" t="n">
        <v>461</v>
      </c>
      <c r="P114" s="206" t="n">
        <v>122</v>
      </c>
      <c r="Q114" s="206" t="n">
        <v>339</v>
      </c>
      <c r="R114" s="206" t="n">
        <v>5</v>
      </c>
      <c r="S114" s="206" t="n">
        <v>11</v>
      </c>
      <c r="T114" s="206" t="n">
        <v>13</v>
      </c>
      <c r="U114" s="206" t="n">
        <v>0</v>
      </c>
      <c r="V114" s="206" t="n">
        <v>2</v>
      </c>
      <c r="W114" s="206" t="n">
        <v>6</v>
      </c>
      <c r="X114" s="49" t="n"/>
      <c r="Y114" s="41" t="n"/>
      <c r="Z114" s="41" t="n"/>
      <c r="AA114" s="41" t="n"/>
      <c r="AB114" s="41" t="n"/>
      <c r="AC114" s="41" t="n"/>
      <c r="AD114" s="41" t="n"/>
      <c r="AE114" s="41" t="n"/>
      <c r="AF114" s="51" t="n"/>
    </row>
    <row r="115" hidden="1" ht="42.75" customFormat="1" customHeight="1" s="52">
      <c r="A115" s="41" t="n"/>
      <c r="B115" s="41" t="n"/>
      <c r="C115" s="41" t="n"/>
      <c r="D115" s="41" t="n"/>
      <c r="E115" s="42" t="n"/>
      <c r="F115" s="97" t="inlineStr">
        <is>
          <t>追加</t>
        </is>
      </c>
      <c r="G115" s="44" t="inlineStr">
        <is>
          <t>16003069010</t>
        </is>
      </c>
      <c r="H115" s="45" t="inlineStr">
        <is>
          <t>CAINIAO-E</t>
        </is>
      </c>
      <c r="I115" s="177" t="inlineStr">
        <is>
          <t>ヤマト</t>
        </is>
      </c>
      <c r="J115" s="47" t="inlineStr">
        <is>
          <t>CX0566</t>
        </is>
      </c>
      <c r="K115" s="96" t="inlineStr">
        <is>
          <t>6-Nov</t>
        </is>
      </c>
      <c r="L115" s="205" t="n">
        <v>1068</v>
      </c>
      <c r="M115" s="49" t="inlineStr">
        <is>
          <t>11/6</t>
        </is>
      </c>
      <c r="N115" s="50" t="n">
        <v>0.2638888888888889</v>
      </c>
      <c r="X115" s="49" t="n"/>
      <c r="Y115" s="41" t="n"/>
      <c r="Z115" s="41" t="n"/>
      <c r="AA115" s="41" t="n"/>
      <c r="AB115" s="41" t="n"/>
      <c r="AC115" s="41" t="n"/>
      <c r="AD115" s="41" t="n"/>
      <c r="AE115" s="41" t="n"/>
      <c r="AF115" s="51" t="n"/>
    </row>
    <row r="116" hidden="1" ht="42.75" customFormat="1" customHeight="1" s="52">
      <c r="A116" s="41" t="n"/>
      <c r="B116" s="41" t="n"/>
      <c r="C116" s="41" t="n"/>
      <c r="D116" s="41" t="n"/>
      <c r="E116" s="42" t="n"/>
      <c r="F116" s="97" t="inlineStr">
        <is>
          <t>追加</t>
        </is>
      </c>
      <c r="G116" s="44" t="inlineStr">
        <is>
          <t>87643326393</t>
        </is>
      </c>
      <c r="H116" s="45" t="inlineStr">
        <is>
          <t>CAINIAO-E</t>
        </is>
      </c>
      <c r="I116" s="177" t="inlineStr">
        <is>
          <t>ヤマト</t>
        </is>
      </c>
      <c r="J116" s="47" t="inlineStr">
        <is>
          <t>3U9371</t>
        </is>
      </c>
      <c r="K116" s="96" t="inlineStr">
        <is>
          <t>5-Nov</t>
        </is>
      </c>
      <c r="L116" s="205" t="n">
        <v>471</v>
      </c>
      <c r="M116" s="49" t="inlineStr">
        <is>
          <t>11/5</t>
        </is>
      </c>
      <c r="N116" s="50" t="n">
        <v>0.8340277777777778</v>
      </c>
      <c r="X116" s="49" t="n"/>
      <c r="Y116" s="41" t="n"/>
      <c r="Z116" s="41" t="n"/>
      <c r="AA116" s="41" t="n"/>
      <c r="AB116" s="41" t="n"/>
      <c r="AC116" s="41" t="n"/>
      <c r="AD116" s="41" t="n"/>
      <c r="AE116" s="41" t="n"/>
      <c r="AF116" s="51" t="n"/>
    </row>
    <row r="117" hidden="1" ht="42.75" customFormat="1" customHeight="1" s="35">
      <c r="A117" s="23" t="n"/>
      <c r="B117" s="23" t="n"/>
      <c r="C117" s="23" t="n"/>
      <c r="D117" s="23" t="n"/>
      <c r="E117" s="24" t="n"/>
      <c r="F117" s="98" t="inlineStr">
        <is>
          <t>追加</t>
        </is>
      </c>
      <c r="G117" s="26" t="inlineStr">
        <is>
          <t>20532604246</t>
        </is>
      </c>
      <c r="H117" s="27" t="inlineStr">
        <is>
          <t>LDX</t>
        </is>
      </c>
      <c r="I117" s="169" t="inlineStr">
        <is>
          <t>ヤマト</t>
        </is>
      </c>
      <c r="J117" s="36" t="inlineStr">
        <is>
          <t>NH0970</t>
        </is>
      </c>
      <c r="K117" s="40" t="inlineStr">
        <is>
          <t>5-Nov</t>
        </is>
      </c>
      <c r="L117" s="198" t="n">
        <v>106</v>
      </c>
      <c r="M117" s="33" t="inlineStr">
        <is>
          <t>11/5</t>
        </is>
      </c>
      <c r="N117" s="32" t="n">
        <v>0.7256944444444444</v>
      </c>
      <c r="X117" s="33" t="n"/>
      <c r="Y117" s="23" t="n"/>
      <c r="Z117" s="23" t="n"/>
      <c r="AA117" s="23" t="n"/>
      <c r="AB117" s="23" t="n"/>
      <c r="AC117" s="23" t="n"/>
      <c r="AD117" s="23" t="n"/>
      <c r="AE117" s="23" t="n"/>
      <c r="AF117" s="34" t="n"/>
    </row>
    <row r="118" hidden="1" ht="42.75" customFormat="1" customHeight="1" s="52">
      <c r="A118" s="41" t="n"/>
      <c r="B118" s="41" t="n"/>
      <c r="C118" s="41" t="n"/>
      <c r="D118" s="41" t="n"/>
      <c r="E118" s="42" t="n"/>
      <c r="F118" s="97" t="inlineStr">
        <is>
          <t>追加</t>
        </is>
      </c>
      <c r="G118" s="44" t="inlineStr">
        <is>
          <t>47936159056</t>
        </is>
      </c>
      <c r="H118" s="45" t="inlineStr">
        <is>
          <t>CAINIAO-E</t>
        </is>
      </c>
      <c r="I118" s="177" t="inlineStr">
        <is>
          <t>ヤマト</t>
        </is>
      </c>
      <c r="J118" s="47" t="inlineStr">
        <is>
          <t>ZH0675</t>
        </is>
      </c>
      <c r="K118" s="96" t="inlineStr">
        <is>
          <t>6-Nov</t>
        </is>
      </c>
      <c r="L118" s="205" t="n">
        <v>2332</v>
      </c>
      <c r="M118" s="49" t="inlineStr">
        <is>
          <t>11/6</t>
        </is>
      </c>
      <c r="N118" s="50" t="n">
        <v>0.7083333333333334</v>
      </c>
      <c r="X118" s="49" t="n"/>
      <c r="Y118" s="41" t="n"/>
      <c r="Z118" s="41" t="n"/>
      <c r="AA118" s="41" t="n"/>
      <c r="AB118" s="41" t="n"/>
      <c r="AC118" s="41" t="n"/>
      <c r="AD118" s="41" t="n"/>
      <c r="AE118" s="41" t="n"/>
      <c r="AF118" s="51" t="n"/>
    </row>
    <row r="119" hidden="1" ht="42.75" customFormat="1" customHeight="1" s="35">
      <c r="A119" s="23" t="n"/>
      <c r="B119" s="23" t="n"/>
      <c r="C119" s="23" t="n"/>
      <c r="D119" s="23" t="n"/>
      <c r="E119" s="24" t="n"/>
      <c r="F119" s="98" t="inlineStr">
        <is>
          <t>追加</t>
        </is>
      </c>
      <c r="G119" s="26" t="inlineStr">
        <is>
          <t>73198144852</t>
        </is>
      </c>
      <c r="H119" s="27" t="inlineStr">
        <is>
          <t>YNE</t>
        </is>
      </c>
      <c r="I119" s="169" t="inlineStr">
        <is>
          <t>ヤマト</t>
        </is>
      </c>
      <c r="J119" s="36" t="inlineStr">
        <is>
          <t>MF8707</t>
        </is>
      </c>
      <c r="K119" s="40" t="inlineStr">
        <is>
          <t>5-Nov</t>
        </is>
      </c>
      <c r="L119" s="198" t="n">
        <v>512</v>
      </c>
      <c r="M119" s="33" t="inlineStr">
        <is>
          <t>11/5</t>
        </is>
      </c>
      <c r="N119" s="32" t="n">
        <v>0.7638888888888888</v>
      </c>
      <c r="X119" s="33" t="n"/>
      <c r="Y119" s="23" t="n"/>
      <c r="Z119" s="23" t="n"/>
      <c r="AA119" s="23" t="n"/>
      <c r="AB119" s="23" t="n"/>
      <c r="AC119" s="23" t="n"/>
      <c r="AD119" s="23" t="n"/>
      <c r="AE119" s="23" t="n"/>
      <c r="AF119" s="34" t="n"/>
    </row>
    <row r="120" hidden="1" ht="42.75" customFormat="1" customHeight="1" s="35">
      <c r="A120" s="23" t="n"/>
      <c r="B120" s="23" t="n"/>
      <c r="C120" s="23" t="n"/>
      <c r="D120" s="23" t="n"/>
      <c r="E120" s="24" t="n"/>
      <c r="F120" s="98" t="inlineStr">
        <is>
          <t>追加</t>
        </is>
      </c>
      <c r="G120" s="26" t="inlineStr">
        <is>
          <t>99937722871</t>
        </is>
      </c>
      <c r="H120" s="27" t="inlineStr">
        <is>
          <t>YNE</t>
        </is>
      </c>
      <c r="I120" s="169" t="inlineStr">
        <is>
          <t>ヤマト</t>
        </is>
      </c>
      <c r="J120" s="36" t="inlineStr">
        <is>
          <t>CA0921</t>
        </is>
      </c>
      <c r="K120" s="40" t="inlineStr">
        <is>
          <t>5-Nov</t>
        </is>
      </c>
      <c r="L120" s="198" t="n">
        <v>1098</v>
      </c>
      <c r="M120" s="33" t="inlineStr">
        <is>
          <t>11/5</t>
        </is>
      </c>
      <c r="N120" s="32" t="n">
        <v>0.5069444444444444</v>
      </c>
      <c r="X120" s="33" t="n"/>
      <c r="Y120" s="23" t="n"/>
      <c r="Z120" s="23" t="n"/>
      <c r="AA120" s="23" t="n"/>
      <c r="AB120" s="23" t="n"/>
      <c r="AC120" s="23" t="n"/>
      <c r="AD120" s="23" t="n"/>
      <c r="AE120" s="23" t="n"/>
      <c r="AF120" s="101" t="inlineStr">
        <is>
          <t>緊急依頼済み</t>
        </is>
      </c>
    </row>
    <row r="121" hidden="1" ht="42.75" customFormat="1" customHeight="1" s="113">
      <c r="A121" s="102" t="n"/>
      <c r="B121" s="102" t="n"/>
      <c r="C121" s="102" t="n"/>
      <c r="D121" s="102" t="n"/>
      <c r="E121" s="102" t="n"/>
      <c r="F121" s="103" t="inlineStr">
        <is>
          <t>予定</t>
        </is>
      </c>
      <c r="G121" s="104" t="inlineStr">
        <is>
          <t>47935695844</t>
        </is>
      </c>
      <c r="H121" s="105" t="inlineStr">
        <is>
          <t>YNE</t>
        </is>
      </c>
      <c r="I121" s="106" t="n"/>
      <c r="J121" s="107" t="inlineStr">
        <is>
          <t>ZH0685</t>
        </is>
      </c>
      <c r="K121" s="108" t="inlineStr">
        <is>
          <t>5-Nov</t>
        </is>
      </c>
      <c r="L121" s="212" t="n">
        <v>252</v>
      </c>
      <c r="M121" s="110" t="inlineStr">
        <is>
          <t>11/5</t>
        </is>
      </c>
      <c r="N121" s="111" t="n">
        <v>0.5416666666666666</v>
      </c>
      <c r="X121" s="110" t="n"/>
      <c r="Y121" s="102" t="n"/>
      <c r="Z121" s="102" t="n"/>
      <c r="AA121" s="102" t="n"/>
      <c r="AB121" s="102" t="n"/>
      <c r="AC121" s="102" t="n"/>
      <c r="AD121" s="102" t="n"/>
      <c r="AE121" s="102" t="n"/>
      <c r="AF121" s="112" t="inlineStr">
        <is>
          <t>緊急</t>
        </is>
      </c>
    </row>
    <row r="122" hidden="1" ht="42.75" customFormat="1" customHeight="1" s="113">
      <c r="A122" s="102" t="n"/>
      <c r="B122" s="102" t="n"/>
      <c r="C122" s="102" t="n"/>
      <c r="D122" s="102" t="n"/>
      <c r="E122" s="102" t="n"/>
      <c r="F122" s="103" t="inlineStr">
        <is>
          <t>予定</t>
        </is>
      </c>
      <c r="G122" s="104" t="inlineStr">
        <is>
          <t>99937526801</t>
        </is>
      </c>
      <c r="H122" s="105" t="inlineStr">
        <is>
          <t>YNE</t>
        </is>
      </c>
      <c r="I122" s="106" t="n"/>
      <c r="J122" s="107" t="inlineStr">
        <is>
          <t>CA0725</t>
        </is>
      </c>
      <c r="K122" s="108" t="inlineStr">
        <is>
          <t>5-Nov</t>
        </is>
      </c>
      <c r="L122" s="212" t="n">
        <v>683</v>
      </c>
      <c r="M122" s="110" t="inlineStr">
        <is>
          <t>11/5</t>
        </is>
      </c>
      <c r="N122" s="111" t="n">
        <v>0.46875</v>
      </c>
      <c r="X122" s="110" t="n"/>
      <c r="Y122" s="102" t="n"/>
      <c r="Z122" s="102" t="n"/>
      <c r="AA122" s="102" t="n"/>
      <c r="AB122" s="102" t="n"/>
      <c r="AC122" s="102" t="n"/>
      <c r="AD122" s="102" t="n"/>
      <c r="AE122" s="102" t="n"/>
      <c r="AF122" s="112" t="inlineStr">
        <is>
          <t>緊急</t>
        </is>
      </c>
    </row>
    <row r="123" hidden="1" ht="42.75" customFormat="1" customHeight="1" s="113">
      <c r="A123" s="102" t="n"/>
      <c r="B123" s="102" t="n"/>
      <c r="C123" s="102" t="n"/>
      <c r="D123" s="102" t="n"/>
      <c r="E123" s="102" t="n"/>
      <c r="F123" s="103" t="inlineStr">
        <is>
          <t>予定</t>
        </is>
      </c>
      <c r="G123" s="104" t="inlineStr">
        <is>
          <t>80422292336</t>
        </is>
      </c>
      <c r="H123" s="105" t="inlineStr">
        <is>
          <t>YNE</t>
        </is>
      </c>
      <c r="I123" s="106" t="n"/>
      <c r="J123" s="107" t="inlineStr">
        <is>
          <t>CF0215</t>
        </is>
      </c>
      <c r="K123" s="108" t="inlineStr">
        <is>
          <t>5-Nov</t>
        </is>
      </c>
      <c r="L123" s="212" t="n">
        <v>2100</v>
      </c>
      <c r="M123" s="110" t="inlineStr">
        <is>
          <t>11/5</t>
        </is>
      </c>
      <c r="N123" s="111" t="n">
        <v>0.4826388888888889</v>
      </c>
      <c r="X123" s="110" t="n"/>
      <c r="Y123" s="102" t="n"/>
      <c r="Z123" s="102" t="n"/>
      <c r="AA123" s="102" t="n"/>
      <c r="AB123" s="102" t="n"/>
      <c r="AC123" s="102" t="n"/>
      <c r="AD123" s="102" t="n"/>
      <c r="AE123" s="102" t="n"/>
      <c r="AF123" s="112" t="inlineStr">
        <is>
          <t>緊急</t>
        </is>
      </c>
    </row>
    <row r="124" ht="42.75" customFormat="1" customHeight="1" s="35">
      <c r="A124" s="23" t="n"/>
      <c r="B124" s="23" t="n"/>
      <c r="C124" s="23" t="n"/>
      <c r="D124" s="23" t="n"/>
      <c r="E124" s="24" t="n"/>
      <c r="F124" s="163" t="n"/>
      <c r="G124" s="26" t="n"/>
      <c r="H124" s="27" t="n"/>
      <c r="I124" s="169" t="n"/>
      <c r="J124" s="36" t="n"/>
      <c r="K124" s="40" t="n"/>
      <c r="L124" s="198" t="n"/>
      <c r="M124" s="33" t="n"/>
      <c r="N124" s="32" t="inlineStr">
        <is>
          <t>総計1</t>
        </is>
      </c>
      <c r="O124" s="206" t="n">
        <v>13473</v>
      </c>
      <c r="P124" s="197" t="inlineStr">
        <is>
          <t>33.3%</t>
        </is>
      </c>
      <c r="Q124" s="197" t="inlineStr">
        <is>
          <t>66.7%</t>
        </is>
      </c>
      <c r="R124" s="206" t="n">
        <v>353</v>
      </c>
      <c r="S124" s="206" t="n">
        <v>488</v>
      </c>
      <c r="T124" s="206" t="n">
        <v>411</v>
      </c>
      <c r="U124" s="206" t="n">
        <v>75</v>
      </c>
      <c r="V124" s="206" t="n">
        <v>190</v>
      </c>
      <c r="W124" s="206" t="n">
        <v>407</v>
      </c>
      <c r="X124" s="33" t="n"/>
      <c r="Y124" s="23" t="n"/>
      <c r="Z124" s="23" t="n"/>
      <c r="AA124" s="23" t="n"/>
      <c r="AB124" s="23" t="n"/>
      <c r="AC124" s="23" t="n"/>
      <c r="AD124" s="23" t="n"/>
      <c r="AE124" s="23" t="n"/>
      <c r="AF124" s="34" t="n"/>
    </row>
    <row r="125" ht="42.75" customFormat="1" customHeight="1" s="35">
      <c r="A125" s="23" t="n"/>
      <c r="B125" s="23" t="n"/>
      <c r="C125" s="23" t="n"/>
      <c r="D125" s="23" t="n"/>
      <c r="E125" s="24" t="n"/>
      <c r="F125" s="163" t="n"/>
      <c r="G125" s="26" t="n"/>
      <c r="H125" s="27" t="n"/>
      <c r="I125" s="169" t="n"/>
      <c r="J125" s="36" t="n"/>
      <c r="K125" s="40" t="n"/>
      <c r="L125" s="198" t="n"/>
      <c r="M125" s="33" t="n"/>
      <c r="N125" s="32" t="inlineStr">
        <is>
          <t>総計2</t>
        </is>
      </c>
      <c r="O125" s="206" t="n">
        <v>13473</v>
      </c>
      <c r="P125" s="206" t="n">
        <v>4492</v>
      </c>
      <c r="Q125" s="206" t="n">
        <v>8981</v>
      </c>
      <c r="R125" s="206" t="n">
        <v>353</v>
      </c>
      <c r="S125" s="206" t="n">
        <v>488</v>
      </c>
      <c r="T125" s="206" t="n">
        <v>411</v>
      </c>
      <c r="U125" s="206" t="n">
        <v>75</v>
      </c>
      <c r="V125" s="206" t="n">
        <v>190</v>
      </c>
      <c r="W125" s="206" t="n">
        <v>407</v>
      </c>
      <c r="X125" s="33" t="n"/>
      <c r="Y125" s="23" t="n"/>
      <c r="Z125" s="23" t="n"/>
      <c r="AA125" s="23" t="n"/>
      <c r="AB125" s="23" t="n"/>
      <c r="AC125" s="23" t="n"/>
      <c r="AD125" s="23" t="n"/>
      <c r="AE125" s="23" t="n"/>
      <c r="AF125" s="34" t="n"/>
    </row>
    <row r="126" ht="42.75" customFormat="1" customHeight="1" s="35">
      <c r="A126" s="23" t="n"/>
      <c r="B126" s="23" t="n"/>
      <c r="C126" s="23" t="n"/>
      <c r="D126" s="23" t="n"/>
      <c r="E126" s="24" t="n"/>
      <c r="F126" s="163" t="n"/>
      <c r="G126" s="26" t="n"/>
      <c r="H126" s="27" t="n"/>
      <c r="I126" s="169" t="n"/>
      <c r="J126" s="36" t="n"/>
      <c r="K126" s="40" t="n"/>
      <c r="L126" s="198" t="n"/>
      <c r="M126" s="33" t="n"/>
      <c r="N126" s="32" t="n"/>
      <c r="O126" s="213" t="inlineStr">
        <is>
          <t>代理店</t>
        </is>
      </c>
      <c r="X126" s="33" t="n"/>
      <c r="Y126" s="23" t="n"/>
      <c r="Z126" s="23" t="n"/>
      <c r="AA126" s="23" t="n"/>
      <c r="AB126" s="23" t="n"/>
      <c r="AC126" s="23" t="n"/>
      <c r="AD126" s="23" t="n"/>
      <c r="AE126" s="23" t="n"/>
      <c r="AF126" s="34" t="n"/>
    </row>
    <row r="127" ht="42.75" customFormat="1" customHeight="1" s="35">
      <c r="A127" s="23" t="n"/>
      <c r="B127" s="23" t="n"/>
      <c r="C127" s="23" t="n"/>
      <c r="D127" s="23" t="n"/>
      <c r="E127" s="24" t="n"/>
      <c r="F127" s="163" t="n"/>
      <c r="G127" s="26" t="n"/>
      <c r="H127" s="27" t="n"/>
      <c r="I127" s="169" t="n"/>
      <c r="J127" s="36" t="n"/>
      <c r="K127" s="40" t="n"/>
      <c r="L127" s="198" t="n"/>
      <c r="M127" s="33" t="n"/>
      <c r="N127" s="32" t="n"/>
      <c r="O127" s="213" t="inlineStr">
        <is>
          <t>CAINIAO-E</t>
        </is>
      </c>
      <c r="Q127" s="213" t="n">
        <v>8</v>
      </c>
      <c r="X127" s="33" t="n"/>
      <c r="Y127" s="23" t="n"/>
      <c r="Z127" s="23" t="n"/>
      <c r="AA127" s="23" t="n"/>
      <c r="AB127" s="23" t="n"/>
      <c r="AC127" s="23" t="n"/>
      <c r="AD127" s="23" t="n"/>
      <c r="AE127" s="23" t="n"/>
      <c r="AF127" s="34" t="n"/>
    </row>
    <row r="128" ht="42.75" customFormat="1" customHeight="1" s="35">
      <c r="A128" s="23" t="n"/>
      <c r="B128" s="23" t="n"/>
      <c r="C128" s="23" t="n"/>
      <c r="D128" s="23" t="n"/>
      <c r="E128" s="24" t="n"/>
      <c r="F128" s="163" t="n"/>
      <c r="G128" s="26" t="n"/>
      <c r="H128" s="27" t="n"/>
      <c r="I128" s="169" t="n"/>
      <c r="J128" s="36" t="n"/>
      <c r="K128" s="40" t="n"/>
      <c r="L128" s="198" t="n"/>
      <c r="M128" s="33" t="n"/>
      <c r="N128" s="32" t="n"/>
      <c r="O128" s="213" t="inlineStr">
        <is>
          <t>TEMU</t>
        </is>
      </c>
      <c r="Q128" s="213" t="n">
        <v>1</v>
      </c>
      <c r="X128" s="33" t="n"/>
      <c r="Y128" s="23" t="n"/>
      <c r="Z128" s="23" t="n"/>
      <c r="AA128" s="23" t="n"/>
      <c r="AB128" s="23" t="n"/>
      <c r="AC128" s="23" t="n"/>
      <c r="AD128" s="23" t="n"/>
      <c r="AE128" s="23" t="n"/>
      <c r="AF128" s="34" t="n"/>
    </row>
    <row r="129" ht="42.75" customFormat="1" customHeight="1" s="35">
      <c r="A129" s="23" t="n"/>
      <c r="B129" s="23" t="n"/>
      <c r="C129" s="23" t="n"/>
      <c r="D129" s="23" t="n"/>
      <c r="E129" s="24" t="n"/>
      <c r="F129" s="163" t="n"/>
      <c r="G129" s="26" t="n"/>
      <c r="H129" s="27" t="n"/>
      <c r="I129" s="169" t="n"/>
      <c r="J129" s="36" t="n"/>
      <c r="K129" s="40" t="n"/>
      <c r="L129" s="198" t="n"/>
      <c r="M129" s="33" t="n"/>
      <c r="N129" s="32" t="n"/>
      <c r="O129" s="213" t="inlineStr">
        <is>
          <t>CNE</t>
        </is>
      </c>
      <c r="Q129" s="213" t="n">
        <v>1</v>
      </c>
      <c r="X129" s="33" t="n"/>
      <c r="Y129" s="23" t="n"/>
      <c r="Z129" s="23" t="n"/>
      <c r="AA129" s="23" t="n"/>
      <c r="AB129" s="23" t="n"/>
      <c r="AC129" s="23" t="n"/>
      <c r="AD129" s="23" t="n"/>
      <c r="AE129" s="23" t="n"/>
      <c r="AF129" s="34" t="n"/>
    </row>
    <row r="130" ht="42.75" customFormat="1" customHeight="1" s="35">
      <c r="A130" s="23" t="n"/>
      <c r="B130" s="23" t="n"/>
      <c r="C130" s="23" t="n"/>
      <c r="D130" s="23" t="n"/>
      <c r="E130" s="24" t="n"/>
      <c r="F130" s="163" t="n"/>
      <c r="G130" s="26" t="n"/>
      <c r="H130" s="27" t="n"/>
      <c r="I130" s="169" t="n"/>
      <c r="J130" s="36" t="n"/>
      <c r="K130" s="40" t="n"/>
      <c r="L130" s="198" t="n"/>
      <c r="M130" s="33" t="n"/>
      <c r="N130" s="32" t="n"/>
      <c r="O130" s="213" t="inlineStr">
        <is>
          <t>MMA-CN</t>
        </is>
      </c>
      <c r="Q130" s="213" t="inlineStr">
        <is>
          <t>計算外</t>
        </is>
      </c>
      <c r="X130" s="33" t="n"/>
      <c r="Y130" s="23" t="n"/>
      <c r="Z130" s="23" t="n"/>
      <c r="AA130" s="23" t="n"/>
      <c r="AB130" s="23" t="n"/>
      <c r="AC130" s="23" t="n"/>
      <c r="AD130" s="23" t="n"/>
      <c r="AE130" s="23" t="n"/>
      <c r="AF130" s="34" t="n"/>
    </row>
    <row r="131" ht="42.75" customFormat="1" customHeight="1" s="35">
      <c r="A131" s="23" t="n"/>
      <c r="B131" s="23" t="n"/>
      <c r="C131" s="23" t="n"/>
      <c r="D131" s="23" t="n"/>
      <c r="E131" s="24" t="n"/>
      <c r="F131" s="163" t="n"/>
      <c r="G131" s="26" t="n"/>
      <c r="H131" s="27" t="n"/>
      <c r="I131" s="169" t="n"/>
      <c r="J131" s="36" t="n"/>
      <c r="K131" s="40" t="n"/>
      <c r="L131" s="198" t="n"/>
      <c r="M131" s="33" t="n"/>
      <c r="N131" s="32" t="n"/>
      <c r="O131" s="213" t="n"/>
      <c r="Q131" s="213" t="inlineStr">
        <is>
          <t>計算外</t>
        </is>
      </c>
      <c r="X131" s="33" t="n"/>
      <c r="Y131" s="23" t="n"/>
      <c r="Z131" s="23" t="n"/>
      <c r="AA131" s="23" t="n"/>
      <c r="AB131" s="23" t="n"/>
      <c r="AC131" s="23" t="n"/>
      <c r="AD131" s="23" t="n"/>
      <c r="AE131" s="23" t="n"/>
      <c r="AF131" s="34" t="n"/>
    </row>
    <row r="132" ht="42.75" customFormat="1" customHeight="1" s="35">
      <c r="A132" s="23" t="n"/>
      <c r="B132" s="23" t="n"/>
      <c r="C132" s="23" t="n"/>
      <c r="D132" s="23" t="n"/>
      <c r="E132" s="24" t="n"/>
      <c r="F132" s="163" t="n"/>
      <c r="G132" s="26" t="n"/>
      <c r="H132" s="27" t="n"/>
      <c r="I132" s="169" t="n"/>
      <c r="J132" s="36" t="n"/>
      <c r="K132" s="40" t="n"/>
      <c r="L132" s="198" t="n"/>
      <c r="M132" s="33" t="n"/>
      <c r="N132" s="32" t="n"/>
      <c r="X132" s="33" t="n"/>
      <c r="Y132" s="23" t="n"/>
      <c r="Z132" s="23" t="n"/>
      <c r="AA132" s="23" t="n"/>
      <c r="AB132" s="23" t="n"/>
      <c r="AC132" s="23" t="n"/>
      <c r="AD132" s="23" t="n"/>
      <c r="AE132" s="23" t="n"/>
      <c r="AF132" s="34" t="n"/>
    </row>
    <row r="133" ht="42.75" customFormat="1" customHeight="1" s="35">
      <c r="A133" s="23" t="n"/>
      <c r="B133" s="23" t="n"/>
      <c r="C133" s="23" t="n"/>
      <c r="D133" s="23" t="n"/>
      <c r="E133" s="24" t="n"/>
      <c r="F133" s="163" t="n"/>
      <c r="G133" s="26" t="n"/>
      <c r="H133" s="27" t="n"/>
      <c r="I133" s="169" t="n"/>
      <c r="J133" s="36" t="n"/>
      <c r="K133" s="40" t="n"/>
      <c r="L133" s="198" t="n"/>
      <c r="M133" s="33" t="n"/>
      <c r="N133" s="32" t="n"/>
      <c r="X133" s="33" t="n"/>
      <c r="Y133" s="23" t="n"/>
      <c r="Z133" s="23" t="n"/>
      <c r="AA133" s="23" t="n"/>
      <c r="AB133" s="23" t="n"/>
      <c r="AC133" s="23" t="n"/>
      <c r="AD133" s="23" t="n"/>
      <c r="AE133" s="23" t="n"/>
      <c r="AF133" s="34" t="n"/>
    </row>
    <row r="134" ht="42.75" customFormat="1" customHeight="1" s="35">
      <c r="A134" s="23" t="n"/>
      <c r="B134" s="23" t="n"/>
      <c r="C134" s="23" t="n"/>
      <c r="D134" s="23" t="n"/>
      <c r="E134" s="24" t="n"/>
      <c r="F134" s="163" t="n"/>
      <c r="G134" s="26" t="n"/>
      <c r="H134" s="27" t="n"/>
      <c r="I134" s="169" t="n"/>
      <c r="J134" s="36" t="n"/>
      <c r="K134" s="40" t="n"/>
      <c r="L134" s="198" t="n"/>
      <c r="M134" s="33" t="n"/>
      <c r="N134" s="32" t="n"/>
      <c r="X134" s="33" t="n"/>
      <c r="Y134" s="23" t="n"/>
      <c r="Z134" s="23" t="n"/>
      <c r="AA134" s="23" t="n"/>
      <c r="AB134" s="23" t="n"/>
      <c r="AC134" s="23" t="n"/>
      <c r="AD134" s="23" t="n"/>
      <c r="AE134" s="23" t="n"/>
      <c r="AF134" s="34" t="n"/>
    </row>
    <row r="135" s="189"/>
    <row r="136" s="189"/>
    <row r="137" s="189"/>
    <row r="138" s="189"/>
    <row r="139" s="189"/>
    <row r="140" s="189"/>
    <row r="141" s="189"/>
    <row r="142" s="189"/>
    <row r="143" s="189"/>
    <row r="144" s="189"/>
    <row r="145" s="189"/>
    <row r="146" s="189"/>
    <row r="147" s="189"/>
    <row r="148" s="189"/>
    <row r="149" s="189"/>
    <row r="150" s="189"/>
    <row r="151" s="189"/>
    <row r="152" s="189"/>
    <row r="153" s="189"/>
    <row r="154" s="189"/>
    <row r="155" s="189"/>
    <row r="156" s="189"/>
    <row r="157" s="189"/>
    <row r="158" s="189"/>
    <row r="159" s="189"/>
    <row r="160" s="189"/>
    <row r="161" s="189"/>
    <row r="162" s="189"/>
    <row r="163" s="189"/>
    <row r="164" s="189"/>
    <row r="165" s="189"/>
    <row r="166" s="189"/>
    <row r="167" s="189"/>
    <row r="168" s="189"/>
    <row r="169" s="189"/>
    <row r="170" s="189"/>
    <row r="171" s="189"/>
    <row r="172" s="189"/>
    <row r="173" s="189"/>
    <row r="174" s="189"/>
    <row r="175" s="189"/>
    <row r="176" s="189"/>
    <row r="177" s="189"/>
    <row r="178" s="189"/>
    <row r="179" s="189"/>
    <row r="180" s="189"/>
    <row r="181" s="189"/>
    <row r="182" s="189"/>
    <row r="183" s="189"/>
    <row r="184" s="189"/>
    <row r="185" s="189"/>
    <row r="186" s="189"/>
    <row r="187" s="189"/>
    <row r="188" s="189"/>
    <row r="189" s="189"/>
    <row r="190" s="189"/>
    <row r="191" s="189"/>
    <row r="192" s="189"/>
    <row r="193" s="189"/>
    <row r="194" s="189"/>
    <row r="195" s="189"/>
    <row r="196" s="189"/>
    <row r="197" s="189"/>
    <row r="198" s="189"/>
    <row r="199" s="189"/>
    <row r="200" s="189"/>
    <row r="201" s="189"/>
    <row r="202" s="189"/>
    <row r="203" s="189"/>
    <row r="204" s="189"/>
    <row r="205" s="189"/>
    <row r="206" s="189"/>
    <row r="207" s="189"/>
    <row r="208" s="189"/>
    <row r="209" s="189"/>
    <row r="210" s="189"/>
    <row r="211" s="189"/>
    <row r="212" s="189"/>
    <row r="213" customFormat="1" s="115">
      <c r="A213" s="1" t="n"/>
      <c r="B213" s="1" t="n"/>
      <c r="C213" s="1" t="n"/>
      <c r="D213" s="1" t="n"/>
      <c r="E213" s="114" t="n"/>
      <c r="F213" s="22" t="n"/>
      <c r="H213" s="22" t="n"/>
      <c r="I213" s="22" t="n"/>
      <c r="J213" s="22" t="n"/>
      <c r="K213" s="187" t="n"/>
      <c r="L213" s="188" t="n"/>
      <c r="N213" s="22" t="n"/>
      <c r="Y213" s="22" t="n"/>
      <c r="Z213" s="22" t="n"/>
      <c r="AA213" s="1" t="n"/>
      <c r="AB213" s="22" t="n"/>
      <c r="AC213" s="22" t="n"/>
      <c r="AD213" s="22" t="n"/>
      <c r="AE213" s="22" t="n"/>
      <c r="AF213" s="114" t="n"/>
    </row>
  </sheetData>
  <autoFilter ref="A4:W123"/>
  <mergeCells count="26">
    <mergeCell ref="G17:G18"/>
    <mergeCell ref="G57:G58"/>
    <mergeCell ref="F74:F75"/>
    <mergeCell ref="H74:H75"/>
    <mergeCell ref="G13:G14"/>
    <mergeCell ref="H31:H32"/>
    <mergeCell ref="T2:V2"/>
    <mergeCell ref="A1:W1"/>
    <mergeCell ref="H17:H18"/>
    <mergeCell ref="F17:F18"/>
    <mergeCell ref="G74:G75"/>
    <mergeCell ref="F33:F34"/>
    <mergeCell ref="I17:I18"/>
    <mergeCell ref="I33:I34"/>
    <mergeCell ref="H57:H58"/>
    <mergeCell ref="F13:F14"/>
    <mergeCell ref="F31:F32"/>
    <mergeCell ref="H13:H14"/>
    <mergeCell ref="G33:G34"/>
    <mergeCell ref="I13:I14"/>
    <mergeCell ref="F57:F58"/>
    <mergeCell ref="I31:I32"/>
    <mergeCell ref="H33:H34"/>
    <mergeCell ref="I74:I75"/>
    <mergeCell ref="G31:G32"/>
    <mergeCell ref="T3:U3"/>
  </mergeCells>
  <conditionalFormatting sqref="A35">
    <cfRule type="duplicateValues" priority="15" dxfId="0"/>
  </conditionalFormatting>
  <conditionalFormatting sqref="A5:A34 A36:A71">
    <cfRule type="duplicateValues" priority="261" dxfId="0"/>
  </conditionalFormatting>
  <conditionalFormatting sqref="A72:A134">
    <cfRule type="duplicateValues" priority="263" dxfId="0"/>
  </conditionalFormatting>
  <conditionalFormatting sqref="C35 G35">
    <cfRule type="duplicateValues" priority="17" dxfId="0"/>
  </conditionalFormatting>
  <conditionalFormatting sqref="C35">
    <cfRule type="duplicateValues" priority="7" dxfId="0"/>
    <cfRule type="duplicateValues" priority="11" dxfId="0"/>
    <cfRule type="duplicateValues" priority="16" dxfId="0"/>
  </conditionalFormatting>
  <conditionalFormatting sqref="C5:C34 C36:C71">
    <cfRule type="duplicateValues" priority="262" dxfId="0"/>
  </conditionalFormatting>
  <conditionalFormatting sqref="C72:C134">
    <cfRule type="duplicateValues" priority="264" dxfId="0"/>
  </conditionalFormatting>
  <conditionalFormatting sqref="G1:G4">
    <cfRule type="duplicateValues" priority="208" dxfId="0"/>
    <cfRule type="duplicateValues" priority="203" dxfId="0"/>
    <cfRule type="duplicateValues" priority="209" dxfId="0"/>
    <cfRule type="duplicateValues" priority="210" dxfId="0"/>
    <cfRule type="duplicateValues" priority="211" dxfId="0"/>
    <cfRule type="duplicateValues" priority="223" dxfId="0"/>
    <cfRule type="duplicateValues" priority="212" dxfId="0"/>
    <cfRule type="duplicateValues" priority="213" dxfId="0"/>
    <cfRule type="duplicateValues" priority="214" dxfId="0"/>
    <cfRule type="duplicateValues" priority="215" dxfId="0"/>
    <cfRule type="duplicateValues" priority="216" dxfId="0"/>
    <cfRule type="duplicateValues" priority="217" dxfId="0"/>
    <cfRule type="duplicateValues" priority="218" dxfId="0"/>
    <cfRule type="duplicateValues" priority="219" dxfId="0"/>
    <cfRule type="duplicateValues" priority="220" dxfId="0"/>
    <cfRule type="duplicateValues" priority="221" dxfId="0"/>
    <cfRule type="duplicateValues" priority="242" dxfId="0"/>
    <cfRule type="duplicateValues" priority="241" dxfId="0"/>
    <cfRule type="duplicateValues" priority="240" dxfId="0"/>
    <cfRule type="duplicateValues" priority="239" dxfId="0"/>
    <cfRule type="duplicateValues" priority="238" dxfId="0"/>
    <cfRule type="duplicateValues" priority="237" dxfId="0"/>
    <cfRule type="duplicateValues" priority="236" dxfId="0"/>
    <cfRule type="duplicateValues" priority="235" dxfId="0"/>
    <cfRule type="duplicateValues" priority="234" dxfId="0"/>
    <cfRule type="duplicateValues" priority="233" dxfId="0"/>
    <cfRule type="duplicateValues" priority="232" dxfId="0"/>
    <cfRule type="duplicateValues" priority="231" dxfId="0"/>
    <cfRule type="duplicateValues" priority="230" dxfId="0"/>
    <cfRule type="duplicateValues" priority="229" dxfId="0"/>
    <cfRule type="duplicateValues" priority="204" dxfId="0"/>
    <cfRule type="duplicateValues" priority="222" dxfId="0"/>
    <cfRule type="duplicateValues" priority="227" dxfId="0"/>
    <cfRule type="duplicateValues" priority="226" dxfId="0"/>
    <cfRule type="duplicateValues" priority="225" dxfId="0"/>
    <cfRule type="duplicateValues" priority="224" dxfId="0"/>
    <cfRule type="duplicateValues" priority="228" dxfId="0"/>
    <cfRule type="duplicateValues" priority="201" dxfId="0"/>
    <cfRule type="duplicateValues" priority="200" dxfId="0"/>
    <cfRule type="duplicateValues" priority="205" dxfId="0"/>
    <cfRule type="duplicateValues" priority="206" dxfId="0"/>
    <cfRule type="duplicateValues" priority="207" dxfId="0"/>
    <cfRule type="duplicateValues" priority="202" dxfId="0"/>
  </conditionalFormatting>
  <conditionalFormatting sqref="G30:G31">
    <cfRule type="duplicateValues" priority="255" dxfId="0"/>
  </conditionalFormatting>
  <conditionalFormatting sqref="G35">
    <cfRule type="duplicateValues" priority="19" dxfId="0"/>
    <cfRule type="duplicateValues" priority="18" dxfId="0"/>
    <cfRule type="duplicateValues" priority="14" dxfId="0"/>
    <cfRule type="duplicateValues" priority="13" dxfId="0"/>
    <cfRule type="duplicateValues" priority="10" dxfId="0"/>
    <cfRule type="duplicateValues" priority="9" dxfId="0"/>
    <cfRule type="duplicateValues" priority="8" dxfId="0"/>
    <cfRule type="duplicateValues" priority="6" dxfId="0"/>
    <cfRule type="duplicateValues" priority="5" dxfId="0"/>
    <cfRule type="duplicateValues" priority="4" dxfId="0"/>
    <cfRule type="duplicateValues" priority="3" dxfId="0"/>
    <cfRule type="duplicateValues" priority="2" dxfId="0"/>
    <cfRule type="duplicateValues" priority="12" dxfId="0"/>
    <cfRule type="duplicateValues" priority="20" dxfId="0"/>
    <cfRule type="duplicateValues" priority="21" dxfId="0"/>
  </conditionalFormatting>
  <conditionalFormatting sqref="C5:C34 C36:C71 G5:G13 G15:G17 G19:G31 G33 G36:G57 G59:G71">
    <cfRule type="duplicateValues" priority="256" dxfId="0"/>
  </conditionalFormatting>
  <conditionalFormatting sqref="G5:G13 G15:G17 G19:G31 G33 G36:G57 G59:G71">
    <cfRule type="duplicateValues" priority="260" dxfId="0"/>
    <cfRule type="duplicateValues" priority="259" dxfId="0"/>
    <cfRule type="duplicateValues" priority="258" dxfId="0"/>
    <cfRule type="duplicateValues" priority="257" dxfId="0"/>
  </conditionalFormatting>
  <conditionalFormatting sqref="G1:G13 G15:G17 G19:G33 G35:G57 G59:G74 G76:G1048576">
    <cfRule type="duplicateValues" priority="1" dxfId="0"/>
  </conditionalFormatting>
  <conditionalFormatting sqref="G1:G13 G15:G17 G19:G31 G33 G36:G57 G59:G74 G76:G1048576">
    <cfRule type="duplicateValues" priority="24" dxfId="0"/>
    <cfRule type="duplicateValues" priority="23" dxfId="0"/>
    <cfRule type="duplicateValues" priority="22" dxfId="0"/>
  </conditionalFormatting>
  <conditionalFormatting sqref="G72:G73">
    <cfRule type="duplicateValues" priority="243" dxfId="0"/>
    <cfRule type="duplicateValues" priority="254" dxfId="0"/>
    <cfRule type="duplicateValues" priority="253" dxfId="0"/>
    <cfRule type="duplicateValues" priority="252" dxfId="0"/>
    <cfRule type="duplicateValues" priority="251" dxfId="0"/>
    <cfRule type="duplicateValues" priority="250" dxfId="0"/>
    <cfRule type="duplicateValues" priority="249" dxfId="0"/>
    <cfRule type="duplicateValues" priority="248" dxfId="0"/>
    <cfRule type="duplicateValues" priority="247" dxfId="0"/>
    <cfRule type="duplicateValues" priority="246" dxfId="0"/>
    <cfRule type="duplicateValues" priority="245" dxfId="0"/>
    <cfRule type="duplicateValues" priority="244" dxfId="0"/>
  </conditionalFormatting>
  <conditionalFormatting sqref="C1:C4 C72:C1048576 G1:G4 G74 G76:G1048576">
    <cfRule type="duplicateValues" priority="41" dxfId="0"/>
  </conditionalFormatting>
  <conditionalFormatting sqref="G1:G4 G74 G76:G1048576">
    <cfRule type="duplicateValues" priority="36" dxfId="0"/>
    <cfRule type="duplicateValues" priority="37" dxfId="0"/>
    <cfRule type="duplicateValues" priority="38" dxfId="0"/>
    <cfRule type="duplicateValues" priority="39" dxfId="0"/>
    <cfRule type="duplicateValues" priority="40" dxfId="0"/>
    <cfRule type="duplicateValues" priority="46" dxfId="0"/>
    <cfRule type="duplicateValues" priority="49" dxfId="0"/>
    <cfRule type="duplicateValues" priority="34" dxfId="0"/>
    <cfRule type="duplicateValues" priority="45" dxfId="0"/>
    <cfRule type="duplicateValues" priority="35" dxfId="0"/>
  </conditionalFormatting>
  <conditionalFormatting sqref="C1:C34 C36:C1048576 G1:G13 G15:G17 G19:G31 G33 G36:G57 G59:G71 G74 G76:G1048576">
    <cfRule type="duplicateValues" priority="30" dxfId="0"/>
  </conditionalFormatting>
  <conditionalFormatting sqref="G1:G13 G15:G17 G19:G31 G33 G36:G57 G59:G71 G74 G76:G1048576">
    <cfRule type="duplicateValues" priority="25" dxfId="0"/>
    <cfRule type="duplicateValues" priority="26" dxfId="0"/>
    <cfRule type="duplicateValues" priority="27" dxfId="0"/>
    <cfRule type="duplicateValues" priority="28" dxfId="0"/>
    <cfRule type="duplicateValues" priority="29" dxfId="0"/>
    <cfRule type="duplicateValues" priority="31" dxfId="0"/>
    <cfRule type="duplicateValues" priority="32" dxfId="0"/>
    <cfRule type="duplicateValues" priority="33" dxfId="0"/>
  </conditionalFormatting>
  <conditionalFormatting sqref="G74 G76:G134">
    <cfRule type="duplicateValues" priority="266" dxfId="0"/>
    <cfRule type="duplicateValues" priority="265" dxfId="0"/>
    <cfRule type="duplicateValues" priority="267" dxfId="0"/>
  </conditionalFormatting>
  <conditionalFormatting sqref="G74 G76:G1048576">
    <cfRule type="duplicateValues" priority="42" dxfId="0"/>
    <cfRule type="duplicateValues" priority="43" dxfId="0"/>
    <cfRule type="duplicateValues" priority="44" dxfId="0"/>
    <cfRule type="duplicateValues" priority="47" dxfId="0"/>
    <cfRule type="duplicateValues" priority="48" dxfId="0"/>
  </conditionalFormatting>
  <conditionalFormatting sqref="G135:G224">
    <cfRule type="duplicateValues" priority="93" dxfId="0"/>
    <cfRule type="duplicateValues" priority="92" dxfId="0"/>
    <cfRule type="duplicateValues" priority="91" dxfId="0"/>
    <cfRule type="duplicateValues" priority="90" dxfId="0"/>
    <cfRule type="duplicateValues" priority="89" dxfId="0"/>
    <cfRule type="duplicateValues" priority="55" dxfId="0"/>
    <cfRule type="duplicateValues" priority="56" dxfId="0"/>
    <cfRule type="duplicateValues" priority="57" dxfId="0"/>
    <cfRule type="duplicateValues" priority="58" dxfId="0"/>
    <cfRule type="duplicateValues" priority="59" dxfId="0"/>
    <cfRule type="duplicateValues" priority="60" dxfId="0"/>
    <cfRule type="duplicateValues" priority="61" dxfId="0"/>
    <cfRule type="duplicateValues" priority="62" dxfId="0"/>
    <cfRule type="duplicateValues" priority="63" dxfId="0"/>
    <cfRule type="duplicateValues" priority="64" dxfId="0"/>
    <cfRule type="duplicateValues" priority="65" dxfId="0"/>
    <cfRule type="duplicateValues" priority="66" dxfId="0"/>
    <cfRule type="duplicateValues" priority="67" dxfId="0"/>
    <cfRule type="duplicateValues" priority="68" dxfId="0"/>
    <cfRule type="duplicateValues" priority="69" dxfId="0"/>
    <cfRule type="duplicateValues" priority="88" dxfId="0"/>
    <cfRule type="duplicateValues" priority="86" dxfId="0"/>
    <cfRule type="duplicateValues" priority="85" dxfId="0"/>
    <cfRule type="duplicateValues" priority="84" dxfId="0"/>
    <cfRule type="duplicateValues" priority="83" dxfId="0"/>
    <cfRule type="duplicateValues" priority="82" dxfId="0"/>
    <cfRule type="duplicateValues" priority="81" dxfId="0"/>
    <cfRule type="duplicateValues" priority="80" dxfId="0"/>
    <cfRule type="duplicateValues" priority="79" dxfId="0"/>
    <cfRule type="duplicateValues" priority="78" dxfId="0"/>
    <cfRule type="duplicateValues" priority="77" dxfId="0"/>
    <cfRule type="duplicateValues" priority="76" dxfId="0"/>
    <cfRule type="duplicateValues" priority="75" dxfId="0"/>
    <cfRule type="duplicateValues" priority="74" dxfId="0"/>
    <cfRule type="duplicateValues" priority="73" dxfId="0"/>
    <cfRule type="duplicateValues" priority="72" dxfId="0"/>
    <cfRule type="duplicateValues" priority="71" dxfId="0"/>
    <cfRule type="duplicateValues" priority="70" dxfId="0"/>
    <cfRule type="duplicateValues" priority="87" dxfId="0"/>
    <cfRule type="duplicateValues" priority="97" dxfId="0"/>
    <cfRule type="duplicateValues" priority="96" dxfId="0"/>
    <cfRule type="duplicateValues" priority="95" dxfId="0"/>
    <cfRule type="duplicateValues" priority="94" dxfId="0"/>
  </conditionalFormatting>
  <conditionalFormatting sqref="A1:A4 A135:A1048576 G1:G4 G135:G1048576">
    <cfRule type="duplicateValues" priority="156" dxfId="0"/>
  </conditionalFormatting>
  <conditionalFormatting sqref="C1:C4 C135:C1048576 G1:G4 G135:G1048576">
    <cfRule type="duplicateValues" priority="155" dxfId="0"/>
    <cfRule type="duplicateValues" priority="154" dxfId="0"/>
  </conditionalFormatting>
  <conditionalFormatting sqref="G1:G4 G135:G1048576">
    <cfRule type="duplicateValues" priority="108" dxfId="0"/>
    <cfRule type="duplicateValues" priority="107" dxfId="0"/>
    <cfRule type="duplicateValues" priority="105" dxfId="0"/>
    <cfRule type="duplicateValues" priority="104" dxfId="0"/>
    <cfRule type="duplicateValues" priority="135" dxfId="0"/>
    <cfRule type="duplicateValues" priority="136" dxfId="0"/>
    <cfRule type="duplicateValues" priority="137" dxfId="0"/>
    <cfRule type="duplicateValues" priority="138" dxfId="0"/>
    <cfRule type="duplicateValues" priority="139" dxfId="0"/>
    <cfRule type="duplicateValues" priority="140" dxfId="0"/>
    <cfRule type="duplicateValues" priority="141" dxfId="0"/>
    <cfRule type="duplicateValues" priority="142" dxfId="0"/>
    <cfRule type="duplicateValues" priority="143" dxfId="0"/>
    <cfRule type="duplicateValues" priority="144" dxfId="0"/>
    <cfRule type="duplicateValues" priority="145" dxfId="0"/>
    <cfRule type="duplicateValues" priority="146" dxfId="0"/>
    <cfRule type="duplicateValues" priority="147" dxfId="0"/>
    <cfRule type="duplicateValues" priority="148" dxfId="0"/>
    <cfRule type="duplicateValues" priority="149" dxfId="0"/>
    <cfRule type="duplicateValues" priority="150" dxfId="0"/>
    <cfRule type="duplicateValues" priority="151" dxfId="0"/>
    <cfRule type="duplicateValues" priority="152" dxfId="0"/>
    <cfRule type="duplicateValues" priority="153" dxfId="0"/>
    <cfRule type="duplicateValues" priority="103" dxfId="0"/>
    <cfRule type="duplicateValues" priority="102" dxfId="0"/>
    <cfRule type="duplicateValues" priority="134" dxfId="0"/>
    <cfRule type="duplicateValues" priority="100" dxfId="0"/>
    <cfRule type="duplicateValues" priority="99" dxfId="0"/>
    <cfRule type="duplicateValues" priority="98" dxfId="0"/>
    <cfRule type="duplicateValues" priority="132" dxfId="0"/>
    <cfRule type="duplicateValues" priority="133" dxfId="0"/>
    <cfRule type="duplicateValues" priority="131" dxfId="0"/>
    <cfRule type="duplicateValues" priority="106" dxfId="0"/>
    <cfRule type="duplicateValues" priority="112" dxfId="0"/>
    <cfRule type="duplicateValues" priority="111" dxfId="0"/>
    <cfRule type="duplicateValues" priority="110" dxfId="0"/>
    <cfRule type="duplicateValues" priority="109" dxfId="0"/>
  </conditionalFormatting>
  <conditionalFormatting sqref="G135:G1048576">
    <cfRule type="duplicateValues" priority="51" dxfId="0"/>
    <cfRule type="duplicateValues" priority="52" dxfId="0"/>
    <cfRule type="duplicateValues" priority="53" dxfId="0"/>
    <cfRule type="duplicateValues" priority="54" dxfId="0"/>
    <cfRule type="duplicateValues" priority="50" dxfId="0"/>
    <cfRule type="duplicateValues" priority="129" dxfId="0"/>
    <cfRule type="duplicateValues" priority="121" dxfId="0"/>
    <cfRule type="duplicateValues" priority="101" dxfId="0"/>
    <cfRule type="duplicateValues" priority="120" dxfId="0"/>
    <cfRule type="duplicateValues" priority="114" dxfId="0"/>
    <cfRule type="duplicateValues" priority="113" dxfId="0"/>
    <cfRule type="duplicateValues" priority="119" dxfId="0"/>
    <cfRule type="duplicateValues" priority="118" dxfId="0"/>
    <cfRule type="duplicateValues" priority="117" dxfId="0"/>
    <cfRule type="duplicateValues" priority="127" dxfId="0"/>
    <cfRule type="duplicateValues" priority="116" dxfId="0"/>
    <cfRule type="duplicateValues" priority="115" dxfId="0"/>
    <cfRule type="duplicateValues" priority="130" dxfId="0"/>
    <cfRule type="duplicateValues" priority="128" dxfId="0"/>
    <cfRule type="duplicateValues" priority="126" dxfId="0"/>
    <cfRule type="duplicateValues" priority="125" dxfId="0"/>
    <cfRule type="duplicateValues" priority="124" dxfId="0"/>
    <cfRule type="duplicateValues" priority="123" dxfId="0"/>
    <cfRule type="duplicateValues" priority="122" dxfId="0"/>
  </conditionalFormatting>
  <conditionalFormatting sqref="G225:G1048576">
    <cfRule type="duplicateValues" priority="171" dxfId="0"/>
    <cfRule type="duplicateValues" priority="172" dxfId="0"/>
    <cfRule type="duplicateValues" priority="173" dxfId="0"/>
    <cfRule type="duplicateValues" priority="174" dxfId="0"/>
    <cfRule type="duplicateValues" priority="175" dxfId="0"/>
    <cfRule type="duplicateValues" priority="176" dxfId="0"/>
    <cfRule type="duplicateValues" priority="178" dxfId="0"/>
    <cfRule type="duplicateValues" priority="179" dxfId="0"/>
    <cfRule type="duplicateValues" priority="180" dxfId="0"/>
    <cfRule type="duplicateValues" priority="177" dxfId="0"/>
    <cfRule type="duplicateValues" priority="183" dxfId="0"/>
    <cfRule type="duplicateValues" priority="157" dxfId="0"/>
    <cfRule type="duplicateValues" priority="185" dxfId="0"/>
    <cfRule type="duplicateValues" priority="186" dxfId="0"/>
    <cfRule type="duplicateValues" priority="187" dxfId="0"/>
    <cfRule type="duplicateValues" priority="188" dxfId="0"/>
    <cfRule type="duplicateValues" priority="158" dxfId="0"/>
    <cfRule type="duplicateValues" priority="190" dxfId="0"/>
    <cfRule type="duplicateValues" priority="191" dxfId="0"/>
    <cfRule type="duplicateValues" priority="192" dxfId="0"/>
    <cfRule type="duplicateValues" priority="193" dxfId="0"/>
    <cfRule type="duplicateValues" priority="194" dxfId="0"/>
    <cfRule type="duplicateValues" priority="164" dxfId="0"/>
    <cfRule type="duplicateValues" priority="195" dxfId="0"/>
    <cfRule type="duplicateValues" priority="196" dxfId="0"/>
    <cfRule type="duplicateValues" priority="197" dxfId="0"/>
    <cfRule type="duplicateValues" priority="159" dxfId="0"/>
    <cfRule type="duplicateValues" priority="199" dxfId="0"/>
    <cfRule type="duplicateValues" priority="160" dxfId="0"/>
    <cfRule type="duplicateValues" priority="170" dxfId="0"/>
    <cfRule type="duplicateValues" priority="161" dxfId="0"/>
    <cfRule type="duplicateValues" priority="162" dxfId="0"/>
    <cfRule type="duplicateValues" priority="184" dxfId="0"/>
    <cfRule type="duplicateValues" priority="163" dxfId="0"/>
    <cfRule type="duplicateValues" priority="198" dxfId="0"/>
    <cfRule type="duplicateValues" priority="165" dxfId="0"/>
    <cfRule type="duplicateValues" priority="166" dxfId="0"/>
    <cfRule type="duplicateValues" priority="167" dxfId="0"/>
    <cfRule type="duplicateValues" priority="168" dxfId="0"/>
    <cfRule type="duplicateValues" priority="169" dxfId="0"/>
    <cfRule type="duplicateValues" priority="182" dxfId="0"/>
    <cfRule type="duplicateValues" priority="181" dxfId="0"/>
    <cfRule type="duplicateValues" priority="189" dxfId="0"/>
  </conditionalFormatting>
  <printOptions horizontalCentered="1" verticalCentered="1"/>
  <pageMargins left="0.2755905511811024" right="0.2755905511811024" top="0.2755905511811024" bottom="0.2755905511811024" header="0.1968503937007874" footer="0.1968503937007874"/>
  <pageSetup orientation="portrait" paperSize="9" scale="1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W187"/>
  <sheetViews>
    <sheetView view="pageBreakPreview" zoomScale="44" zoomScaleNormal="70" zoomScaleSheetLayoutView="44" workbookViewId="0">
      <pane ySplit="4" topLeftCell="A5" activePane="bottomLeft" state="frozen"/>
      <selection activeCell="W89" sqref="W89"/>
      <selection pane="bottomLeft" activeCell="W89" sqref="W89"/>
    </sheetView>
  </sheetViews>
  <sheetFormatPr baseColWidth="8" defaultRowHeight="20.25"/>
  <cols>
    <col width="8.625" customWidth="1" style="1" min="1" max="4"/>
    <col width="8.625" customWidth="1" style="114" min="5" max="5"/>
    <col width="8.625" customWidth="1" style="22" min="6" max="6"/>
    <col width="23" customWidth="1" style="115" min="7" max="7"/>
    <col width="20.75" customWidth="1" style="22" min="8" max="8"/>
    <col width="66.625" customWidth="1" style="22" min="9" max="9"/>
    <col width="13.125" customWidth="1" style="22" min="10" max="10"/>
    <col width="12.125" customWidth="1" style="187" min="11" max="11"/>
    <col width="11" customWidth="1" style="188" min="12" max="12"/>
    <col width="12" customWidth="1" style="115" min="13" max="13"/>
    <col width="10.625" customWidth="1" style="22" min="14" max="14"/>
    <col width="10.625" customWidth="1" style="115" min="15" max="15"/>
    <col width="10.625" customWidth="1" style="22" min="16" max="16"/>
    <col width="15.375" customWidth="1" style="22" min="17" max="17"/>
    <col width="10.625" customWidth="1" style="1" min="18" max="18"/>
    <col width="10.625" customWidth="1" style="22" min="19" max="22"/>
    <col width="78.5" customWidth="1" style="114" min="23" max="23"/>
    <col width="9" customWidth="1" style="1" min="24" max="16384"/>
  </cols>
  <sheetData>
    <row r="1" ht="61.5" customHeight="1" s="189">
      <c r="A1" s="178" t="inlineStr">
        <is>
          <t xml:space="preserve">　　　　       作業指示書</t>
        </is>
      </c>
    </row>
    <row r="2">
      <c r="A2" s="2" t="n"/>
      <c r="B2" s="2" t="n"/>
      <c r="C2" s="2" t="n"/>
      <c r="D2" s="2" t="n"/>
      <c r="E2" s="3" t="n"/>
      <c r="F2" s="2" t="n"/>
      <c r="G2" s="4" t="n"/>
      <c r="H2" s="2" t="n"/>
      <c r="I2" s="2" t="n"/>
      <c r="J2" s="2" t="n"/>
      <c r="K2" s="190" t="n"/>
      <c r="L2" s="2" t="n"/>
      <c r="M2" s="4" t="n"/>
      <c r="N2" s="2" t="n"/>
      <c r="O2" s="4" t="n"/>
      <c r="P2" s="2" t="n"/>
      <c r="Q2" s="2" t="n"/>
      <c r="R2" s="191" t="n"/>
      <c r="S2" s="191" t="n"/>
      <c r="T2" s="191" t="n">
        <v>45966</v>
      </c>
      <c r="W2" s="192">
        <f>WEEKDAY(T2)</f>
        <v/>
      </c>
    </row>
    <row r="3" ht="25.5" customHeight="1" s="189">
      <c r="A3" s="2" t="n"/>
      <c r="B3" s="2" t="n"/>
      <c r="C3" s="2" t="n"/>
      <c r="D3" s="2" t="n"/>
      <c r="E3" s="3" t="n"/>
      <c r="F3" s="2" t="n"/>
      <c r="G3" s="4" t="n"/>
      <c r="H3" s="2" t="n"/>
      <c r="I3" s="2" t="n"/>
      <c r="J3" s="2" t="n"/>
      <c r="K3" s="193" t="inlineStr">
        <is>
          <t>MAWB :</t>
        </is>
      </c>
      <c r="L3" s="194">
        <f>SUBTOTAL(3,G5:G388)</f>
        <v/>
      </c>
      <c r="M3" s="10" t="n"/>
      <c r="N3" s="11" t="n"/>
      <c r="O3" s="10" t="inlineStr">
        <is>
          <t>本数</t>
        </is>
      </c>
      <c r="P3" s="11">
        <f>SUM(Q5:Q168)</f>
        <v/>
      </c>
      <c r="Q3" s="12" t="inlineStr">
        <is>
          <t>本</t>
        </is>
      </c>
      <c r="R3" s="13" t="n"/>
      <c r="S3" s="12" t="inlineStr">
        <is>
          <t>HAWB :</t>
        </is>
      </c>
      <c r="T3" s="180">
        <f>SUM(L5:L11059)-L13-L17-L31-L56-L71</f>
        <v/>
      </c>
      <c r="U3" s="195" t="n"/>
      <c r="V3" s="180" t="n"/>
      <c r="W3" s="15" t="n"/>
    </row>
    <row r="4" ht="51" customFormat="1" customHeight="1" s="22">
      <c r="A4" s="16" t="inlineStr">
        <is>
          <t>l</t>
        </is>
      </c>
      <c r="B4" s="16" t="n">
        <v>2</v>
      </c>
      <c r="C4" s="16" t="n">
        <v>3</v>
      </c>
      <c r="D4" s="16" t="n">
        <v>4</v>
      </c>
      <c r="E4" s="17" t="inlineStr">
        <is>
          <t>申告</t>
        </is>
      </c>
      <c r="F4" s="16" t="inlineStr">
        <is>
          <t>NO</t>
        </is>
      </c>
      <c r="G4" s="18" t="inlineStr">
        <is>
          <t>AWB番号</t>
        </is>
      </c>
      <c r="H4" s="16" t="inlineStr">
        <is>
          <t>代理店</t>
        </is>
      </c>
      <c r="I4" s="16" t="inlineStr">
        <is>
          <t>発送先</t>
        </is>
      </c>
      <c r="J4" s="16" t="inlineStr">
        <is>
          <t>FLT</t>
        </is>
      </c>
      <c r="K4" s="196" t="inlineStr">
        <is>
          <t>DAY</t>
        </is>
      </c>
      <c r="L4" s="16" t="inlineStr">
        <is>
          <t>件数</t>
        </is>
      </c>
      <c r="M4" s="20" t="inlineStr">
        <is>
          <t>着
予定日</t>
        </is>
      </c>
      <c r="N4" s="21" t="inlineStr">
        <is>
          <t>着
予定時間</t>
        </is>
      </c>
      <c r="O4" s="20" t="inlineStr">
        <is>
          <t>PKG
時間</t>
        </is>
      </c>
      <c r="P4" s="21" t="inlineStr">
        <is>
          <t>PKG
時間</t>
        </is>
      </c>
      <c r="Q4" s="16" t="inlineStr">
        <is>
          <t>M本数</t>
        </is>
      </c>
      <c r="R4" s="16" t="n"/>
      <c r="S4" s="21" t="inlineStr">
        <is>
          <t>横持
(OLT)</t>
        </is>
      </c>
      <c r="T4" s="21" t="inlineStr">
        <is>
          <t>BIN</t>
        </is>
      </c>
      <c r="U4" s="21" t="inlineStr">
        <is>
          <t>搬入
(HPK)</t>
        </is>
      </c>
      <c r="V4" s="21" t="inlineStr">
        <is>
          <t>搬出
(OUT)</t>
        </is>
      </c>
      <c r="W4" s="16" t="inlineStr">
        <is>
          <t>備考</t>
        </is>
      </c>
    </row>
    <row r="5" ht="42.75" customFormat="1" customHeight="1" s="35">
      <c r="A5" s="23" t="n"/>
      <c r="B5" s="23" t="n"/>
      <c r="C5" s="23" t="n"/>
      <c r="D5" s="23" t="n"/>
      <c r="E5" s="24" t="n"/>
      <c r="F5" s="163" t="n">
        <v>1</v>
      </c>
      <c r="G5" s="26" t="inlineStr">
        <is>
          <t>16003534576</t>
        </is>
      </c>
      <c r="H5" s="27" t="inlineStr">
        <is>
          <t>YTO</t>
        </is>
      </c>
      <c r="I5" s="169" t="inlineStr">
        <is>
          <t>佐川</t>
        </is>
      </c>
      <c r="J5" s="169" t="inlineStr">
        <is>
          <t>LD0204</t>
        </is>
      </c>
      <c r="K5" s="29" t="inlineStr">
        <is>
          <t>2-Nov</t>
        </is>
      </c>
      <c r="L5" s="198" t="n">
        <v>184</v>
      </c>
      <c r="M5" s="31" t="inlineStr">
        <is>
          <t>11/2</t>
        </is>
      </c>
      <c r="N5" s="32" t="n">
        <v>0.3263888888888889</v>
      </c>
      <c r="O5" s="33" t="n"/>
      <c r="P5" s="23" t="n"/>
      <c r="Q5" s="23" t="n">
        <v>20</v>
      </c>
      <c r="R5" s="23" t="n"/>
      <c r="S5" s="23" t="n"/>
      <c r="T5" s="23" t="n"/>
      <c r="U5" s="23" t="n"/>
      <c r="V5" s="23" t="n"/>
      <c r="W5" s="34" t="inlineStr">
        <is>
          <t>佐川あり</t>
        </is>
      </c>
    </row>
    <row r="6" ht="42.75" customFormat="1" customHeight="1" s="35">
      <c r="A6" s="23" t="n"/>
      <c r="B6" s="23" t="n"/>
      <c r="C6" s="23" t="n"/>
      <c r="D6" s="23" t="n"/>
      <c r="E6" s="24" t="n"/>
      <c r="F6" s="163" t="n">
        <v>2</v>
      </c>
      <c r="G6" s="26" t="inlineStr">
        <is>
          <t>08900592686</t>
        </is>
      </c>
      <c r="H6" s="27" t="inlineStr">
        <is>
          <t>RG</t>
        </is>
      </c>
      <c r="I6" s="169" t="inlineStr">
        <is>
          <t>ヤマト/　佐川(261)</t>
        </is>
      </c>
      <c r="J6" s="169" t="inlineStr">
        <is>
          <t>9C6985</t>
        </is>
      </c>
      <c r="K6" s="36" t="inlineStr">
        <is>
          <t>1-Nov</t>
        </is>
      </c>
      <c r="L6" s="198" t="n">
        <v>327</v>
      </c>
      <c r="M6" s="33" t="inlineStr">
        <is>
          <t>11/1</t>
        </is>
      </c>
      <c r="N6" s="32" t="n">
        <v>0.4965277777777778</v>
      </c>
      <c r="O6" s="33" t="inlineStr">
        <is>
          <t>11/4</t>
        </is>
      </c>
      <c r="P6" s="37" t="n">
        <v>0.75</v>
      </c>
      <c r="Q6" s="23" t="n">
        <v>68</v>
      </c>
      <c r="R6" s="23" t="n"/>
      <c r="S6" s="23" t="n"/>
      <c r="T6" s="23" t="n"/>
      <c r="U6" s="23" t="n"/>
      <c r="V6" s="23" t="n"/>
      <c r="W6" s="34" t="inlineStr">
        <is>
          <t>佐川あり</t>
        </is>
      </c>
    </row>
    <row r="7" ht="42.75" customFormat="1" customHeight="1" s="35">
      <c r="A7" s="23" t="n"/>
      <c r="B7" s="23" t="n"/>
      <c r="C7" s="23" t="n"/>
      <c r="D7" s="23" t="n"/>
      <c r="E7" s="24" t="n"/>
      <c r="F7" s="163" t="n">
        <v>3</v>
      </c>
      <c r="G7" s="26" t="inlineStr">
        <is>
          <t>92149766371</t>
        </is>
      </c>
      <c r="H7" s="27" t="inlineStr">
        <is>
          <t>YTO</t>
        </is>
      </c>
      <c r="I7" s="169" t="inlineStr">
        <is>
          <t>佐川</t>
        </is>
      </c>
      <c r="J7" s="169" t="inlineStr">
        <is>
          <t>O30277</t>
        </is>
      </c>
      <c r="K7" s="36" t="inlineStr">
        <is>
          <t>1-Nov</t>
        </is>
      </c>
      <c r="L7" s="198" t="n">
        <v>739</v>
      </c>
      <c r="M7" s="33" t="inlineStr">
        <is>
          <t>11/1</t>
        </is>
      </c>
      <c r="N7" s="32" t="n">
        <v>0.5625</v>
      </c>
      <c r="O7" s="33" t="inlineStr">
        <is>
          <t>11/4</t>
        </is>
      </c>
      <c r="P7" s="37" t="n">
        <v>0.7277777777777777</v>
      </c>
      <c r="Q7" s="23" t="n">
        <v>101</v>
      </c>
      <c r="R7" s="23" t="n"/>
      <c r="S7" s="23" t="n"/>
      <c r="T7" s="23" t="n"/>
      <c r="U7" s="23" t="n"/>
      <c r="V7" s="23" t="n"/>
      <c r="W7" s="34" t="inlineStr">
        <is>
          <t>佐川あり</t>
        </is>
      </c>
    </row>
    <row r="8" ht="42.75" customFormat="1" customHeight="1" s="35">
      <c r="A8" s="23" t="n"/>
      <c r="B8" s="23" t="n"/>
      <c r="C8" s="23" t="n"/>
      <c r="D8" s="23" t="n"/>
      <c r="E8" s="24" t="n"/>
      <c r="F8" s="163" t="n">
        <v>4</v>
      </c>
      <c r="G8" s="26" t="inlineStr">
        <is>
          <t>16003137492</t>
        </is>
      </c>
      <c r="H8" s="27" t="inlineStr">
        <is>
          <t>YTO</t>
        </is>
      </c>
      <c r="I8" s="169" t="inlineStr">
        <is>
          <t>佐川</t>
        </is>
      </c>
      <c r="J8" s="169" t="inlineStr">
        <is>
          <t>CX0036</t>
        </is>
      </c>
      <c r="K8" s="36" t="inlineStr">
        <is>
          <t>1-Nov</t>
        </is>
      </c>
      <c r="L8" s="198" t="n">
        <v>177</v>
      </c>
      <c r="M8" s="33" t="inlineStr">
        <is>
          <t>11/1</t>
        </is>
      </c>
      <c r="N8" s="32" t="n">
        <v>0.6909722222222222</v>
      </c>
      <c r="O8" s="33" t="n"/>
      <c r="P8" s="23" t="n"/>
      <c r="Q8" s="23" t="n">
        <v>24</v>
      </c>
      <c r="R8" s="23" t="n"/>
      <c r="S8" s="23" t="n"/>
      <c r="T8" s="23" t="n"/>
      <c r="U8" s="23" t="n"/>
      <c r="V8" s="23" t="n"/>
      <c r="W8" s="34" t="inlineStr">
        <is>
          <t>佐川あり</t>
        </is>
      </c>
    </row>
    <row r="9" ht="42.75" customFormat="1" customHeight="1" s="35">
      <c r="A9" s="23" t="n"/>
      <c r="B9" s="23" t="n"/>
      <c r="C9" s="23" t="n"/>
      <c r="D9" s="23" t="n"/>
      <c r="E9" s="24" t="n"/>
      <c r="F9" s="163" t="n">
        <v>5</v>
      </c>
      <c r="G9" s="26" t="inlineStr">
        <is>
          <t>92149451835</t>
        </is>
      </c>
      <c r="H9" s="27" t="inlineStr">
        <is>
          <t>NY</t>
        </is>
      </c>
      <c r="I9" s="169" t="inlineStr">
        <is>
          <t>ヤマト / ネコポス</t>
        </is>
      </c>
      <c r="J9" s="169" t="inlineStr">
        <is>
          <t>O30277</t>
        </is>
      </c>
      <c r="K9" s="36" t="inlineStr">
        <is>
          <t>1-Nov</t>
        </is>
      </c>
      <c r="L9" s="198" t="n">
        <v>2214</v>
      </c>
      <c r="M9" s="33" t="inlineStr">
        <is>
          <t>11/1</t>
        </is>
      </c>
      <c r="N9" s="32" t="n">
        <v>0.5625</v>
      </c>
      <c r="O9" s="33" t="inlineStr">
        <is>
          <t>11/4</t>
        </is>
      </c>
      <c r="P9" s="37" t="n">
        <v>0.7277777777777777</v>
      </c>
      <c r="Q9" s="23" t="n">
        <v>124</v>
      </c>
      <c r="R9" s="23" t="n"/>
      <c r="S9" s="23" t="n"/>
      <c r="T9" s="23" t="n"/>
      <c r="U9" s="23" t="n"/>
      <c r="V9" s="23" t="n"/>
      <c r="W9" s="34" t="n"/>
    </row>
    <row r="10" ht="42.75" customFormat="1" customHeight="1" s="35">
      <c r="A10" s="23" t="n"/>
      <c r="B10" s="23" t="n"/>
      <c r="C10" s="23" t="n"/>
      <c r="D10" s="23" t="n"/>
      <c r="E10" s="24" t="n"/>
      <c r="F10" s="163" t="n">
        <v>6</v>
      </c>
      <c r="G10" s="26" t="inlineStr">
        <is>
          <t>92149766500</t>
        </is>
      </c>
      <c r="H10" s="27" t="inlineStr">
        <is>
          <t>YTO</t>
        </is>
      </c>
      <c r="I10" s="169" t="inlineStr">
        <is>
          <t>佐川</t>
        </is>
      </c>
      <c r="J10" s="169" t="inlineStr">
        <is>
          <t>O30277</t>
        </is>
      </c>
      <c r="K10" s="36" t="inlineStr">
        <is>
          <t>3-Nov</t>
        </is>
      </c>
      <c r="L10" s="198" t="n">
        <v>301</v>
      </c>
      <c r="M10" s="33" t="inlineStr">
        <is>
          <t>11/3</t>
        </is>
      </c>
      <c r="N10" s="32" t="n">
        <v>0.5416666666666666</v>
      </c>
      <c r="O10" s="33" t="n"/>
      <c r="P10" s="23" t="n"/>
      <c r="Q10" s="23" t="n">
        <v>50</v>
      </c>
      <c r="R10" s="23" t="n"/>
      <c r="S10" s="23" t="n"/>
      <c r="T10" s="23" t="n"/>
      <c r="U10" s="23" t="n"/>
      <c r="V10" s="23" t="n"/>
      <c r="W10" s="34" t="inlineStr">
        <is>
          <t>佐川あり</t>
        </is>
      </c>
    </row>
    <row r="11" ht="42.75" customFormat="1" customHeight="1" s="35">
      <c r="A11" s="23" t="n"/>
      <c r="B11" s="23" t="n"/>
      <c r="C11" s="23" t="n"/>
      <c r="D11" s="23" t="n"/>
      <c r="E11" s="24" t="n"/>
      <c r="F11" s="163" t="n">
        <v>7</v>
      </c>
      <c r="G11" s="26" t="inlineStr">
        <is>
          <t>99433460044</t>
        </is>
      </c>
      <c r="H11" s="27" t="inlineStr">
        <is>
          <t>LDX</t>
        </is>
      </c>
      <c r="I11" s="169" t="inlineStr">
        <is>
          <t>ヤマト / ネコポス</t>
        </is>
      </c>
      <c r="J11" s="169" t="inlineStr">
        <is>
          <t>KJ0232</t>
        </is>
      </c>
      <c r="K11" s="36" t="inlineStr">
        <is>
          <t>3-Nov</t>
        </is>
      </c>
      <c r="L11" s="198" t="n">
        <v>291</v>
      </c>
      <c r="M11" s="33" t="inlineStr">
        <is>
          <t>11/3</t>
        </is>
      </c>
      <c r="N11" s="32" t="n">
        <v>0.7916666666666666</v>
      </c>
      <c r="O11" s="33" t="n"/>
      <c r="P11" s="23" t="n"/>
      <c r="Q11" s="23" t="n">
        <v>96</v>
      </c>
      <c r="R11" s="23" t="n"/>
      <c r="S11" s="23" t="n"/>
      <c r="T11" s="23" t="n"/>
      <c r="U11" s="23" t="n"/>
      <c r="V11" s="23" t="n"/>
      <c r="W11" s="34" t="n"/>
    </row>
    <row r="12" ht="42.75" customFormat="1" customHeight="1" s="35">
      <c r="A12" s="23" t="n"/>
      <c r="B12" s="23" t="n"/>
      <c r="C12" s="23" t="n"/>
      <c r="D12" s="23" t="n"/>
      <c r="E12" s="24" t="n"/>
      <c r="F12" s="163" t="n">
        <v>8</v>
      </c>
      <c r="G12" s="26" t="inlineStr">
        <is>
          <t>87643241715</t>
        </is>
      </c>
      <c r="H12" s="27" t="inlineStr">
        <is>
          <t>YNE</t>
        </is>
      </c>
      <c r="I12" s="169" t="inlineStr">
        <is>
          <t>ヤマト</t>
        </is>
      </c>
      <c r="J12" s="169" t="inlineStr">
        <is>
          <t>3U9831</t>
        </is>
      </c>
      <c r="K12" s="36" t="inlineStr">
        <is>
          <t>2-Nov</t>
        </is>
      </c>
      <c r="L12" s="198" t="n">
        <v>350</v>
      </c>
      <c r="M12" s="33" t="inlineStr">
        <is>
          <t>11/2</t>
        </is>
      </c>
      <c r="N12" s="32" t="n">
        <v>0.9722222222222222</v>
      </c>
      <c r="O12" s="33" t="inlineStr">
        <is>
          <t>11/4</t>
        </is>
      </c>
      <c r="P12" s="37" t="n">
        <v>0.9277777777777778</v>
      </c>
      <c r="Q12" s="23" t="n">
        <v>40</v>
      </c>
      <c r="R12" s="23" t="n"/>
      <c r="S12" s="23" t="n"/>
      <c r="T12" s="23" t="n"/>
      <c r="U12" s="23" t="n"/>
      <c r="V12" s="23" t="n"/>
      <c r="W12" s="34" t="n"/>
    </row>
    <row r="13" ht="42.75" customFormat="1" customHeight="1" s="35">
      <c r="A13" s="23" t="n"/>
      <c r="B13" s="23" t="n"/>
      <c r="C13" s="23" t="n"/>
      <c r="D13" s="23" t="n"/>
      <c r="E13" s="24" t="inlineStr">
        <is>
          <t>S</t>
        </is>
      </c>
      <c r="F13" s="23" t="n">
        <v>9</v>
      </c>
      <c r="G13" s="199" t="inlineStr">
        <is>
          <t>73198144771</t>
        </is>
      </c>
      <c r="H13" s="200" t="inlineStr">
        <is>
          <t>YNE</t>
        </is>
      </c>
      <c r="I13" s="40" t="inlineStr">
        <is>
          <t>ヤマト</t>
        </is>
      </c>
      <c r="J13" s="169" t="inlineStr">
        <is>
          <t>MF8707</t>
        </is>
      </c>
      <c r="K13" s="29" t="inlineStr">
        <is>
          <t>3-Nov</t>
        </is>
      </c>
      <c r="L13" s="201" t="n">
        <v>300</v>
      </c>
      <c r="M13" s="31" t="inlineStr">
        <is>
          <t>11/3</t>
        </is>
      </c>
      <c r="N13" s="32" t="n">
        <v>0.7479166666666667</v>
      </c>
      <c r="O13" s="33" t="inlineStr">
        <is>
          <t>11/3</t>
        </is>
      </c>
      <c r="P13" s="37" t="n">
        <v>0.9923611111111111</v>
      </c>
      <c r="Q13" s="23" t="inlineStr">
        <is>
          <t>15 / 27</t>
        </is>
      </c>
      <c r="R13" s="23" t="n"/>
      <c r="S13" s="23" t="inlineStr">
        <is>
          <t>✓</t>
        </is>
      </c>
      <c r="T13" s="23" t="inlineStr">
        <is>
          <t>✓</t>
        </is>
      </c>
      <c r="U13" s="23" t="inlineStr">
        <is>
          <t>✓</t>
        </is>
      </c>
      <c r="V13" s="23" t="inlineStr">
        <is>
          <t>✓</t>
        </is>
      </c>
      <c r="W13" s="34" t="n"/>
    </row>
    <row r="14" ht="42.75" customFormat="1" customHeight="1" s="35">
      <c r="A14" s="23" t="n"/>
      <c r="B14" s="23" t="n"/>
      <c r="C14" s="23" t="n"/>
      <c r="D14" s="23" t="n"/>
      <c r="E14" s="24" t="n"/>
      <c r="F14" s="202" t="n"/>
      <c r="G14" s="203" t="n"/>
      <c r="H14" s="204" t="n"/>
      <c r="I14" s="202" t="n"/>
      <c r="J14" s="169" t="n"/>
      <c r="K14" s="29" t="n"/>
      <c r="L14" s="198" t="n">
        <v>237</v>
      </c>
      <c r="M14" s="31" t="inlineStr">
        <is>
          <t>11/4</t>
        </is>
      </c>
      <c r="N14" s="32" t="n">
        <v>0.7465277777777778</v>
      </c>
      <c r="O14" s="33" t="inlineStr">
        <is>
          <t>11/5</t>
        </is>
      </c>
      <c r="P14" s="37" t="n">
        <v>0.01805555555555555</v>
      </c>
      <c r="Q14" s="23" t="n">
        <v>12</v>
      </c>
      <c r="R14" s="23" t="n"/>
      <c r="S14" s="23" t="n"/>
      <c r="T14" s="23" t="n"/>
      <c r="U14" s="23" t="n"/>
      <c r="V14" s="23" t="n"/>
      <c r="W14" s="34" t="n"/>
    </row>
    <row r="15" ht="42.75" customFormat="1" customHeight="1" s="35">
      <c r="A15" s="23" t="n"/>
      <c r="B15" s="23" t="n"/>
      <c r="C15" s="23" t="n"/>
      <c r="D15" s="23" t="n"/>
      <c r="E15" s="24" t="n"/>
      <c r="F15" s="163" t="n">
        <v>10</v>
      </c>
      <c r="G15" s="26" t="inlineStr">
        <is>
          <t>92149451640</t>
        </is>
      </c>
      <c r="H15" s="27" t="inlineStr">
        <is>
          <t>NY</t>
        </is>
      </c>
      <c r="I15" s="169" t="inlineStr">
        <is>
          <t>ヤマト / ネコポス</t>
        </is>
      </c>
      <c r="J15" s="169" t="inlineStr">
        <is>
          <t>O30277</t>
        </is>
      </c>
      <c r="K15" s="36" t="inlineStr">
        <is>
          <t>3-Nov</t>
        </is>
      </c>
      <c r="L15" s="198" t="n">
        <v>778</v>
      </c>
      <c r="M15" s="33" t="inlineStr">
        <is>
          <t>11/3</t>
        </is>
      </c>
      <c r="N15" s="32" t="n">
        <v>0.5416666666666666</v>
      </c>
      <c r="O15" s="33" t="n"/>
      <c r="P15" s="23" t="n"/>
      <c r="Q15" s="23" t="n">
        <v>54</v>
      </c>
      <c r="R15" s="23" t="n"/>
      <c r="S15" s="23" t="n"/>
      <c r="T15" s="23" t="n"/>
      <c r="U15" s="23" t="n"/>
      <c r="V15" s="23" t="n"/>
      <c r="W15" s="34" t="n"/>
    </row>
    <row r="16" ht="42.75" customFormat="1" customHeight="1" s="35">
      <c r="A16" s="23" t="n"/>
      <c r="B16" s="23" t="n"/>
      <c r="C16" s="23" t="n"/>
      <c r="D16" s="23" t="n"/>
      <c r="E16" s="24" t="n"/>
      <c r="F16" s="163" t="n">
        <v>11</v>
      </c>
      <c r="G16" s="26" t="inlineStr">
        <is>
          <t>92149451883</t>
        </is>
      </c>
      <c r="H16" s="27" t="inlineStr">
        <is>
          <t>NY</t>
        </is>
      </c>
      <c r="I16" s="169" t="inlineStr">
        <is>
          <t>ヤマト / ネコポス</t>
        </is>
      </c>
      <c r="J16" s="169" t="inlineStr">
        <is>
          <t>O30277</t>
        </is>
      </c>
      <c r="K16" s="36" t="inlineStr">
        <is>
          <t>3-Nov</t>
        </is>
      </c>
      <c r="L16" s="198" t="n">
        <v>1772</v>
      </c>
      <c r="M16" s="33" t="inlineStr">
        <is>
          <t>11/3</t>
        </is>
      </c>
      <c r="N16" s="32" t="n">
        <v>0.5416666666666666</v>
      </c>
      <c r="O16" s="33" t="n"/>
      <c r="P16" s="23" t="n"/>
      <c r="Q16" s="23" t="n">
        <v>139</v>
      </c>
      <c r="R16" s="23" t="n"/>
      <c r="S16" s="23" t="n"/>
      <c r="T16" s="23" t="n"/>
      <c r="U16" s="23" t="n"/>
      <c r="V16" s="23" t="n"/>
      <c r="W16" s="34" t="n"/>
    </row>
    <row r="17" ht="42.75" customFormat="1" customHeight="1" s="35">
      <c r="A17" s="23" t="n"/>
      <c r="B17" s="23" t="n"/>
      <c r="C17" s="23" t="n"/>
      <c r="D17" s="23" t="n"/>
      <c r="E17" s="24" t="inlineStr">
        <is>
          <t>S</t>
        </is>
      </c>
      <c r="F17" s="23" t="n">
        <v>12</v>
      </c>
      <c r="G17" s="199" t="inlineStr">
        <is>
          <t>73198537320</t>
        </is>
      </c>
      <c r="H17" s="200" t="inlineStr">
        <is>
          <t>NY</t>
        </is>
      </c>
      <c r="I17" s="40" t="inlineStr">
        <is>
          <t>ヤマト / ネコポス</t>
        </is>
      </c>
      <c r="J17" s="169" t="inlineStr">
        <is>
          <t>MF0839</t>
        </is>
      </c>
      <c r="K17" s="36" t="inlineStr">
        <is>
          <t>3-Nov</t>
        </is>
      </c>
      <c r="L17" s="201" t="n">
        <v>514</v>
      </c>
      <c r="M17" s="33" t="inlineStr">
        <is>
          <t>11/3</t>
        </is>
      </c>
      <c r="N17" s="32" t="n">
        <v>0.74375</v>
      </c>
      <c r="O17" s="33" t="inlineStr">
        <is>
          <t>11/3</t>
        </is>
      </c>
      <c r="P17" s="37" t="n">
        <v>0.9895833333333334</v>
      </c>
      <c r="Q17" s="23" t="inlineStr">
        <is>
          <t>28 / 55</t>
        </is>
      </c>
      <c r="R17" s="23" t="n"/>
      <c r="S17" s="23" t="inlineStr">
        <is>
          <t>✓</t>
        </is>
      </c>
      <c r="T17" s="23" t="inlineStr">
        <is>
          <t>✓</t>
        </is>
      </c>
      <c r="U17" s="23" t="inlineStr">
        <is>
          <t>✓</t>
        </is>
      </c>
      <c r="V17" s="23" t="inlineStr">
        <is>
          <t>✓</t>
        </is>
      </c>
      <c r="W17" s="34" t="n"/>
    </row>
    <row r="18" ht="42.75" customFormat="1" customHeight="1" s="35">
      <c r="A18" s="23" t="n"/>
      <c r="B18" s="23" t="n"/>
      <c r="C18" s="23" t="n"/>
      <c r="D18" s="23" t="n"/>
      <c r="E18" s="24" t="n"/>
      <c r="F18" s="202" t="n"/>
      <c r="G18" s="203" t="n"/>
      <c r="H18" s="204" t="n"/>
      <c r="I18" s="202" t="n"/>
      <c r="J18" s="169" t="n"/>
      <c r="K18" s="36" t="n"/>
      <c r="L18" s="198" t="n">
        <v>700</v>
      </c>
      <c r="M18" s="33" t="inlineStr">
        <is>
          <t>11/4</t>
        </is>
      </c>
      <c r="N18" s="32" t="n">
        <v>0.7319444444444444</v>
      </c>
      <c r="O18" s="33" t="inlineStr">
        <is>
          <t>11/5</t>
        </is>
      </c>
      <c r="P18" s="37" t="n">
        <v>0.08263888888888889</v>
      </c>
      <c r="Q18" s="39" t="n">
        <v>27</v>
      </c>
      <c r="R18" s="23" t="n"/>
      <c r="S18" s="23" t="n"/>
      <c r="T18" s="23" t="n"/>
      <c r="U18" s="23" t="n"/>
      <c r="V18" s="23" t="n"/>
      <c r="W18" s="34" t="n"/>
    </row>
    <row r="19" ht="42.75" customFormat="1" customHeight="1" s="35">
      <c r="A19" s="23" t="n"/>
      <c r="B19" s="23" t="n"/>
      <c r="C19" s="23" t="n"/>
      <c r="D19" s="23" t="n"/>
      <c r="E19" s="24" t="n"/>
      <c r="F19" s="163" t="n">
        <v>13</v>
      </c>
      <c r="G19" s="26" t="inlineStr">
        <is>
          <t>78441581956</t>
        </is>
      </c>
      <c r="H19" s="27" t="inlineStr">
        <is>
          <t>CNE</t>
        </is>
      </c>
      <c r="I19" s="169" t="inlineStr">
        <is>
          <t>ヤマト</t>
        </is>
      </c>
      <c r="J19" s="169" t="inlineStr">
        <is>
          <t>CZ8105</t>
        </is>
      </c>
      <c r="K19" s="36" t="inlineStr">
        <is>
          <t>3-Nov</t>
        </is>
      </c>
      <c r="L19" s="198" t="n">
        <v>752</v>
      </c>
      <c r="M19" s="33" t="inlineStr">
        <is>
          <t>11/3</t>
        </is>
      </c>
      <c r="N19" s="32" t="n">
        <v>0.6465277777777778</v>
      </c>
      <c r="O19" s="33" t="inlineStr">
        <is>
          <t>11/4</t>
        </is>
      </c>
      <c r="P19" s="37" t="n">
        <v>0.9180555555555555</v>
      </c>
      <c r="Q19" s="23" t="n">
        <v>24</v>
      </c>
      <c r="R19" s="23" t="n"/>
      <c r="S19" s="23" t="n"/>
      <c r="T19" s="23" t="n"/>
      <c r="U19" s="23" t="n"/>
      <c r="V19" s="23" t="n"/>
      <c r="W19" s="34" t="n"/>
    </row>
    <row r="20" ht="42.75" customFormat="1" customHeight="1" s="35">
      <c r="A20" s="23" t="n"/>
      <c r="B20" s="23" t="n"/>
      <c r="C20" s="23" t="n"/>
      <c r="D20" s="23" t="n"/>
      <c r="E20" s="24" t="n"/>
      <c r="F20" s="163" t="n">
        <v>14</v>
      </c>
      <c r="G20" s="26" t="inlineStr">
        <is>
          <t>90892086326</t>
        </is>
      </c>
      <c r="H20" s="27" t="inlineStr">
        <is>
          <t>YTO</t>
        </is>
      </c>
      <c r="I20" s="40" t="inlineStr">
        <is>
          <t>ヤマト /  佐川(683)</t>
        </is>
      </c>
      <c r="J20" s="169" t="inlineStr">
        <is>
          <t>GI4115</t>
        </is>
      </c>
      <c r="K20" s="36" t="inlineStr">
        <is>
          <t>5-Nov</t>
        </is>
      </c>
      <c r="L20" s="198" t="n">
        <v>708</v>
      </c>
      <c r="M20" s="33" t="inlineStr">
        <is>
          <t>11/5</t>
        </is>
      </c>
      <c r="N20" s="32" t="n">
        <v>0.2083333333333333</v>
      </c>
      <c r="O20" s="33" t="n"/>
      <c r="P20" s="23" t="n"/>
      <c r="Q20" s="23" t="n">
        <v>22</v>
      </c>
      <c r="R20" s="23" t="n"/>
      <c r="S20" s="23" t="n"/>
      <c r="T20" s="23" t="n"/>
      <c r="U20" s="23" t="n"/>
      <c r="V20" s="23" t="n"/>
      <c r="W20" s="34" t="inlineStr">
        <is>
          <t>佐川あり</t>
        </is>
      </c>
    </row>
    <row r="21" ht="42.75" customFormat="1" customHeight="1" s="35">
      <c r="A21" s="23" t="n"/>
      <c r="B21" s="23" t="n"/>
      <c r="C21" s="23" t="n"/>
      <c r="D21" s="23" t="n"/>
      <c r="E21" s="24" t="n"/>
      <c r="F21" s="163" t="n">
        <v>15</v>
      </c>
      <c r="G21" s="26" t="inlineStr">
        <is>
          <t>92149452734</t>
        </is>
      </c>
      <c r="H21" s="27" t="inlineStr">
        <is>
          <t>NY</t>
        </is>
      </c>
      <c r="I21" s="169" t="inlineStr">
        <is>
          <t>ヤマト</t>
        </is>
      </c>
      <c r="J21" s="169" t="inlineStr">
        <is>
          <t>O30277</t>
        </is>
      </c>
      <c r="K21" s="36" t="inlineStr">
        <is>
          <t>3-Nov</t>
        </is>
      </c>
      <c r="L21" s="198" t="n">
        <v>47</v>
      </c>
      <c r="M21" s="33" t="inlineStr">
        <is>
          <t>11/3</t>
        </is>
      </c>
      <c r="N21" s="32" t="n">
        <v>0.5486111111111112</v>
      </c>
      <c r="O21" s="33" t="n"/>
      <c r="P21" s="23" t="n"/>
      <c r="Q21" s="23" t="n">
        <v>4</v>
      </c>
      <c r="R21" s="23" t="n"/>
      <c r="S21" s="23" t="n"/>
      <c r="T21" s="23" t="n"/>
      <c r="U21" s="23" t="n"/>
      <c r="V21" s="23" t="n"/>
      <c r="W21" s="34" t="n"/>
    </row>
    <row r="22" ht="42.75" customFormat="1" customHeight="1" s="35">
      <c r="A22" s="23" t="n"/>
      <c r="B22" s="23" t="n"/>
      <c r="C22" s="23" t="n"/>
      <c r="D22" s="23" t="n"/>
      <c r="E22" s="24" t="n"/>
      <c r="F22" s="163" t="n">
        <v>16</v>
      </c>
      <c r="G22" s="26" t="inlineStr">
        <is>
          <t>92149766533</t>
        </is>
      </c>
      <c r="H22" s="27" t="inlineStr">
        <is>
          <t>YTO</t>
        </is>
      </c>
      <c r="I22" s="169" t="inlineStr">
        <is>
          <t>佐川</t>
        </is>
      </c>
      <c r="J22" s="169" t="inlineStr">
        <is>
          <t>O30277</t>
        </is>
      </c>
      <c r="K22" s="36" t="inlineStr">
        <is>
          <t>4-Nov</t>
        </is>
      </c>
      <c r="L22" s="198" t="n">
        <v>434</v>
      </c>
      <c r="M22" s="33" t="inlineStr">
        <is>
          <t>11/4</t>
        </is>
      </c>
      <c r="N22" s="32" t="n">
        <v>0.5486111111111112</v>
      </c>
      <c r="O22" s="33" t="n"/>
      <c r="P22" s="23" t="n"/>
      <c r="Q22" s="23" t="n">
        <v>54</v>
      </c>
      <c r="R22" s="23" t="n"/>
      <c r="S22" s="23" t="n"/>
      <c r="T22" s="23" t="n"/>
      <c r="U22" s="23" t="n"/>
      <c r="V22" s="23" t="n"/>
      <c r="W22" s="34" t="inlineStr">
        <is>
          <t>佐川あり</t>
        </is>
      </c>
    </row>
    <row r="23" ht="42.75" customFormat="1" customHeight="1" s="35">
      <c r="A23" s="23" t="n"/>
      <c r="B23" s="23" t="n"/>
      <c r="C23" s="23" t="n"/>
      <c r="D23" s="23" t="n"/>
      <c r="E23" s="24" t="n"/>
      <c r="F23" s="163" t="n">
        <v>17</v>
      </c>
      <c r="G23" s="26" t="inlineStr">
        <is>
          <t>92149766301</t>
        </is>
      </c>
      <c r="H23" s="27" t="inlineStr">
        <is>
          <t>YTO</t>
        </is>
      </c>
      <c r="I23" s="169" t="inlineStr">
        <is>
          <t>佐川</t>
        </is>
      </c>
      <c r="J23" s="169" t="inlineStr">
        <is>
          <t>O30277</t>
        </is>
      </c>
      <c r="K23" s="36" t="inlineStr">
        <is>
          <t>3-Nov</t>
        </is>
      </c>
      <c r="L23" s="198" t="n">
        <v>173</v>
      </c>
      <c r="M23" s="33" t="inlineStr">
        <is>
          <t>11/3</t>
        </is>
      </c>
      <c r="N23" s="32" t="n">
        <v>0.5486111111111112</v>
      </c>
      <c r="O23" s="33" t="n"/>
      <c r="P23" s="23" t="n"/>
      <c r="Q23" s="23" t="n">
        <v>22</v>
      </c>
      <c r="R23" s="23" t="n"/>
      <c r="S23" s="23" t="n"/>
      <c r="T23" s="23" t="n"/>
      <c r="U23" s="23" t="n"/>
      <c r="V23" s="23" t="n"/>
      <c r="W23" s="34" t="inlineStr">
        <is>
          <t>佐川あり</t>
        </is>
      </c>
    </row>
    <row r="24" ht="42.75" customFormat="1" customHeight="1" s="35">
      <c r="A24" s="23" t="n"/>
      <c r="B24" s="23" t="n"/>
      <c r="C24" s="23" t="n"/>
      <c r="D24" s="23" t="n"/>
      <c r="E24" s="24" t="n"/>
      <c r="F24" s="163" t="n">
        <v>18</v>
      </c>
      <c r="G24" s="26" t="inlineStr">
        <is>
          <t>89100129776</t>
        </is>
      </c>
      <c r="H24" s="27" t="inlineStr">
        <is>
          <t>YTO</t>
        </is>
      </c>
      <c r="I24" s="169" t="inlineStr">
        <is>
          <t>佐川</t>
        </is>
      </c>
      <c r="J24" s="169" t="inlineStr">
        <is>
          <t>GJ8077</t>
        </is>
      </c>
      <c r="K24" s="36" t="inlineStr">
        <is>
          <t>3-Nov</t>
        </is>
      </c>
      <c r="L24" s="198" t="n">
        <v>185</v>
      </c>
      <c r="M24" s="33" t="inlineStr">
        <is>
          <t>11/3</t>
        </is>
      </c>
      <c r="N24" s="32" t="n">
        <v>0.6979166666666666</v>
      </c>
      <c r="O24" s="33" t="n"/>
      <c r="P24" s="23" t="n"/>
      <c r="Q24" s="23" t="n"/>
      <c r="R24" s="23" t="n"/>
      <c r="S24" s="23" t="n"/>
      <c r="T24" s="23" t="n"/>
      <c r="U24" s="23" t="n"/>
      <c r="V24" s="23" t="n"/>
      <c r="W24" s="34" t="inlineStr">
        <is>
          <t>佐川あり</t>
        </is>
      </c>
    </row>
    <row r="25" ht="42.75" customFormat="1" customHeight="1" s="52">
      <c r="A25" s="41" t="n"/>
      <c r="B25" s="41" t="n"/>
      <c r="C25" s="41" t="n"/>
      <c r="D25" s="41" t="n"/>
      <c r="E25" s="42" t="n"/>
      <c r="F25" s="171" t="n">
        <v>19</v>
      </c>
      <c r="G25" s="44" t="inlineStr">
        <is>
          <t>80422381730</t>
        </is>
      </c>
      <c r="H25" s="45" t="inlineStr">
        <is>
          <t>CAINIAO-E</t>
        </is>
      </c>
      <c r="I25" s="177" t="inlineStr">
        <is>
          <t>ヤマト</t>
        </is>
      </c>
      <c r="J25" s="177" t="inlineStr">
        <is>
          <t>CF0273</t>
        </is>
      </c>
      <c r="K25" s="47" t="inlineStr">
        <is>
          <t>3-Nov</t>
        </is>
      </c>
      <c r="L25" s="205" t="n">
        <v>1921</v>
      </c>
      <c r="M25" s="49" t="inlineStr">
        <is>
          <t>11/3</t>
        </is>
      </c>
      <c r="N25" s="50" t="n">
        <v>0.5</v>
      </c>
      <c r="O25" s="49" t="n"/>
      <c r="P25" s="41" t="n"/>
      <c r="Q25" s="41" t="n"/>
      <c r="R25" s="41" t="n"/>
      <c r="S25" s="41" t="n"/>
      <c r="T25" s="41" t="n"/>
      <c r="U25" s="41" t="n"/>
      <c r="V25" s="41" t="n"/>
      <c r="W25" s="51" t="n"/>
    </row>
    <row r="26" ht="42.75" customFormat="1" customHeight="1" s="52">
      <c r="A26" s="41" t="n"/>
      <c r="B26" s="41" t="n"/>
      <c r="C26" s="41" t="n"/>
      <c r="D26" s="41" t="n"/>
      <c r="E26" s="42" t="n"/>
      <c r="F26" s="171" t="n">
        <v>20</v>
      </c>
      <c r="G26" s="44" t="inlineStr">
        <is>
          <t>16098057632</t>
        </is>
      </c>
      <c r="H26" s="45" t="inlineStr">
        <is>
          <t>CAINIAO-E</t>
        </is>
      </c>
      <c r="I26" s="177" t="inlineStr">
        <is>
          <t>ヤマト</t>
        </is>
      </c>
      <c r="J26" s="177" t="inlineStr">
        <is>
          <t>CX0961</t>
        </is>
      </c>
      <c r="K26" s="47" t="inlineStr">
        <is>
          <t>3-Nov</t>
        </is>
      </c>
      <c r="L26" s="205" t="n">
        <v>1073</v>
      </c>
      <c r="M26" s="49" t="inlineStr">
        <is>
          <t>11/3</t>
        </is>
      </c>
      <c r="N26" s="50" t="n">
        <v>0.7743055555555556</v>
      </c>
      <c r="O26" s="49" t="n"/>
      <c r="P26" s="41" t="n"/>
      <c r="Q26" s="41" t="n"/>
      <c r="R26" s="41" t="n"/>
      <c r="S26" s="41" t="n"/>
      <c r="T26" s="41" t="n"/>
      <c r="U26" s="41" t="n"/>
      <c r="V26" s="41" t="n"/>
      <c r="W26" s="51" t="n"/>
    </row>
    <row r="27" ht="42.75" customFormat="1" customHeight="1" s="52">
      <c r="A27" s="41" t="n"/>
      <c r="B27" s="41" t="n"/>
      <c r="C27" s="41" t="n"/>
      <c r="D27" s="41" t="n"/>
      <c r="E27" s="42" t="n"/>
      <c r="F27" s="171" t="n">
        <v>21</v>
      </c>
      <c r="G27" s="44" t="inlineStr">
        <is>
          <t>16003472420</t>
        </is>
      </c>
      <c r="H27" s="45" t="inlineStr">
        <is>
          <t>CAINIAO-E</t>
        </is>
      </c>
      <c r="I27" s="177" t="inlineStr">
        <is>
          <t>ヤマト</t>
        </is>
      </c>
      <c r="J27" s="177" t="inlineStr">
        <is>
          <t>CX0961</t>
        </is>
      </c>
      <c r="K27" s="47" t="inlineStr">
        <is>
          <t>3-Nov</t>
        </is>
      </c>
      <c r="L27" s="205" t="n">
        <v>909</v>
      </c>
      <c r="M27" s="49" t="inlineStr">
        <is>
          <t>11/3</t>
        </is>
      </c>
      <c r="N27" s="50" t="n">
        <v>0.7743055555555556</v>
      </c>
      <c r="O27" s="49" t="n"/>
      <c r="P27" s="41" t="n"/>
      <c r="Q27" s="41" t="n"/>
      <c r="R27" s="41" t="n"/>
      <c r="S27" s="41" t="n"/>
      <c r="T27" s="41" t="n"/>
      <c r="U27" s="41" t="n"/>
      <c r="V27" s="41" t="n"/>
      <c r="W27" s="51" t="n"/>
    </row>
    <row r="28" ht="42.75" customFormat="1" customHeight="1" s="35">
      <c r="A28" s="41" t="n"/>
      <c r="B28" s="41" t="n"/>
      <c r="C28" s="41" t="n"/>
      <c r="D28" s="41" t="n"/>
      <c r="E28" s="42" t="n"/>
      <c r="F28" s="171" t="n">
        <v>22</v>
      </c>
      <c r="G28" s="44" t="inlineStr">
        <is>
          <t>08901343381</t>
        </is>
      </c>
      <c r="H28" s="45" t="inlineStr">
        <is>
          <t>CAINIAO-E</t>
        </is>
      </c>
      <c r="I28" s="177" t="inlineStr">
        <is>
          <t>ヤマト</t>
        </is>
      </c>
      <c r="J28" s="177" t="inlineStr">
        <is>
          <t>9C6603</t>
        </is>
      </c>
      <c r="K28" s="47" t="inlineStr">
        <is>
          <t>4-Nov</t>
        </is>
      </c>
      <c r="L28" s="205" t="n">
        <v>1258</v>
      </c>
      <c r="M28" s="49" t="inlineStr">
        <is>
          <t>11/4</t>
        </is>
      </c>
      <c r="N28" s="50" t="n">
        <v>0.6979166666666666</v>
      </c>
      <c r="O28" s="49" t="inlineStr">
        <is>
          <t>11/5</t>
        </is>
      </c>
      <c r="P28" s="53" t="n">
        <v>0.09583333333333334</v>
      </c>
      <c r="Q28" s="41" t="n">
        <v>33</v>
      </c>
      <c r="R28" s="41" t="n"/>
      <c r="S28" s="41" t="n"/>
      <c r="T28" s="41" t="n"/>
      <c r="U28" s="41" t="n"/>
      <c r="V28" s="41" t="n"/>
      <c r="W28" s="51" t="n"/>
    </row>
    <row r="29" ht="42.75" customFormat="1" customHeight="1" s="35">
      <c r="A29" s="54" t="n"/>
      <c r="B29" s="54" t="n"/>
      <c r="C29" s="54" t="n"/>
      <c r="D29" s="54" t="n"/>
      <c r="E29" s="55" t="n"/>
      <c r="F29" s="56" t="n">
        <v>23</v>
      </c>
      <c r="G29" s="57" t="inlineStr">
        <is>
          <t>29771199435</t>
        </is>
      </c>
      <c r="H29" s="58" t="inlineStr">
        <is>
          <t>TEMU</t>
        </is>
      </c>
      <c r="I29" s="59" t="inlineStr">
        <is>
          <t>エスポ便</t>
        </is>
      </c>
      <c r="J29" s="59" t="inlineStr">
        <is>
          <t>CI5836</t>
        </is>
      </c>
      <c r="K29" s="60" t="inlineStr">
        <is>
          <t>4-Nov</t>
        </is>
      </c>
      <c r="L29" s="207" t="n">
        <v>474</v>
      </c>
      <c r="M29" s="62" t="inlineStr">
        <is>
          <t>11/4</t>
        </is>
      </c>
      <c r="N29" s="63" t="n">
        <v>0.5347222222222222</v>
      </c>
      <c r="O29" s="62" t="inlineStr">
        <is>
          <t>11/5</t>
        </is>
      </c>
      <c r="P29" s="64" t="n">
        <v>0.05416666666666667</v>
      </c>
      <c r="Q29" s="54" t="n">
        <v>29</v>
      </c>
      <c r="R29" s="54" t="n"/>
      <c r="S29" s="54" t="n"/>
      <c r="T29" s="54" t="n"/>
      <c r="U29" s="54" t="n"/>
      <c r="V29" s="54" t="n"/>
      <c r="W29" s="65" t="inlineStr">
        <is>
          <t xml:space="preserve">最後処理[20時まで] </t>
        </is>
      </c>
    </row>
    <row r="30" ht="42.75" customFormat="1" customHeight="1" s="35">
      <c r="A30" s="23" t="n"/>
      <c r="B30" s="23" t="n"/>
      <c r="C30" s="23" t="n"/>
      <c r="D30" s="23" t="n"/>
      <c r="E30" s="24" t="n"/>
      <c r="F30" s="163" t="n">
        <v>24</v>
      </c>
      <c r="G30" s="26" t="inlineStr">
        <is>
          <t>73198513380</t>
        </is>
      </c>
      <c r="H30" s="27" t="inlineStr">
        <is>
          <t>YTO</t>
        </is>
      </c>
      <c r="I30" s="40" t="inlineStr">
        <is>
          <t>ヤマト / ネコポス / 佐川(59)</t>
        </is>
      </c>
      <c r="J30" s="169" t="inlineStr">
        <is>
          <t>MF0839</t>
        </is>
      </c>
      <c r="K30" s="36" t="inlineStr">
        <is>
          <t>3-Nov</t>
        </is>
      </c>
      <c r="L30" s="198" t="n">
        <v>593</v>
      </c>
      <c r="M30" s="33" t="inlineStr">
        <is>
          <t>11/3</t>
        </is>
      </c>
      <c r="N30" s="32" t="n">
        <v>0.7465277777777778</v>
      </c>
      <c r="O30" s="33" t="inlineStr">
        <is>
          <t>11/5</t>
        </is>
      </c>
      <c r="P30" s="37" t="n">
        <v>0.07361111111111111</v>
      </c>
      <c r="Q30" s="23" t="n">
        <v>20</v>
      </c>
      <c r="R30" s="23" t="n"/>
      <c r="S30" s="23" t="n"/>
      <c r="T30" s="23" t="n"/>
      <c r="U30" s="23" t="n"/>
      <c r="V30" s="23" t="n"/>
      <c r="W30" s="34" t="inlineStr">
        <is>
          <t>佐川あり</t>
        </is>
      </c>
    </row>
    <row r="31" ht="42.75" customFormat="1" customHeight="1" s="35">
      <c r="A31" s="23" t="n"/>
      <c r="B31" s="23" t="n"/>
      <c r="C31" s="23" t="n"/>
      <c r="D31" s="23" t="n"/>
      <c r="E31" s="24" t="inlineStr">
        <is>
          <t>S</t>
        </is>
      </c>
      <c r="F31" s="23" t="n">
        <v>25</v>
      </c>
      <c r="G31" s="199" t="inlineStr">
        <is>
          <t>92149451743</t>
        </is>
      </c>
      <c r="H31" s="200" t="inlineStr">
        <is>
          <t>NY</t>
        </is>
      </c>
      <c r="I31" s="40" t="inlineStr">
        <is>
          <t>ヤマト</t>
        </is>
      </c>
      <c r="J31" s="169" t="inlineStr">
        <is>
          <t>O30277</t>
        </is>
      </c>
      <c r="K31" s="36" t="inlineStr">
        <is>
          <t>3-Nov</t>
        </is>
      </c>
      <c r="L31" s="201" t="n">
        <v>310</v>
      </c>
      <c r="M31" s="33" t="inlineStr">
        <is>
          <t>11/3</t>
        </is>
      </c>
      <c r="N31" s="32" t="n">
        <v>0.5416666666666666</v>
      </c>
      <c r="O31" s="33" t="inlineStr">
        <is>
          <t>11/3</t>
        </is>
      </c>
      <c r="P31" s="37" t="n">
        <v>0.9243055555555556</v>
      </c>
      <c r="Q31" s="23" t="inlineStr">
        <is>
          <t>23 / 36</t>
        </is>
      </c>
      <c r="R31" s="23" t="n"/>
      <c r="S31" s="23" t="inlineStr">
        <is>
          <t>✓</t>
        </is>
      </c>
      <c r="T31" s="23" t="inlineStr">
        <is>
          <t>✓</t>
        </is>
      </c>
      <c r="U31" s="23" t="inlineStr">
        <is>
          <t>✓</t>
        </is>
      </c>
      <c r="V31" s="23" t="inlineStr">
        <is>
          <t>✓</t>
        </is>
      </c>
      <c r="W31" s="34" t="n"/>
    </row>
    <row r="32" ht="42.75" customFormat="1" customHeight="1" s="35">
      <c r="A32" s="23" t="n"/>
      <c r="B32" s="23" t="n"/>
      <c r="C32" s="23" t="n"/>
      <c r="D32" s="23" t="n"/>
      <c r="E32" s="24" t="n"/>
      <c r="F32" s="202" t="n"/>
      <c r="G32" s="203" t="n"/>
      <c r="H32" s="204" t="n"/>
      <c r="I32" s="202" t="n"/>
      <c r="J32" s="169" t="n"/>
      <c r="K32" s="36" t="n"/>
      <c r="L32" s="198" t="n">
        <v>170</v>
      </c>
      <c r="M32" s="33" t="inlineStr">
        <is>
          <t>11/4</t>
        </is>
      </c>
      <c r="N32" s="32" t="n">
        <v>0.5534722222222223</v>
      </c>
      <c r="O32" s="33" t="n"/>
      <c r="P32" s="23" t="n"/>
      <c r="Q32" s="23" t="n">
        <v>13</v>
      </c>
      <c r="R32" s="23" t="n"/>
      <c r="S32" s="23" t="n"/>
      <c r="T32" s="23" t="n"/>
      <c r="U32" s="23" t="n"/>
      <c r="V32" s="23" t="n"/>
      <c r="W32" s="34" t="n"/>
    </row>
    <row r="33" ht="42.75" customFormat="1" customHeight="1" s="35">
      <c r="A33" s="41" t="n"/>
      <c r="B33" s="41" t="n"/>
      <c r="C33" s="41" t="n"/>
      <c r="D33" s="41" t="n"/>
      <c r="E33" s="42" t="n"/>
      <c r="F33" s="41" t="n">
        <v>26</v>
      </c>
      <c r="G33" s="208" t="inlineStr">
        <is>
          <t>11239895531</t>
        </is>
      </c>
      <c r="H33" s="209" t="inlineStr">
        <is>
          <t>CAINIAO-E</t>
        </is>
      </c>
      <c r="I33" s="96" t="inlineStr">
        <is>
          <t>ヤマト</t>
        </is>
      </c>
      <c r="J33" s="177" t="inlineStr">
        <is>
          <t>MU0747</t>
        </is>
      </c>
      <c r="K33" s="47" t="inlineStr">
        <is>
          <t>4-Nov</t>
        </is>
      </c>
      <c r="L33" s="205" t="n">
        <v>970</v>
      </c>
      <c r="M33" s="49" t="inlineStr">
        <is>
          <t>11/4</t>
        </is>
      </c>
      <c r="N33" s="50" t="n">
        <v>0.6277777777777778</v>
      </c>
      <c r="O33" s="49" t="inlineStr">
        <is>
          <t>11/4</t>
        </is>
      </c>
      <c r="P33" s="53" t="n">
        <v>0.7270833333333333</v>
      </c>
      <c r="Q33" s="41" t="inlineStr">
        <is>
          <t>18 / 39</t>
        </is>
      </c>
      <c r="R33" s="41" t="n"/>
      <c r="S33" s="41" t="n"/>
      <c r="T33" s="41" t="n"/>
      <c r="U33" s="41" t="n"/>
      <c r="V33" s="41" t="n"/>
      <c r="W33" s="51" t="n"/>
    </row>
    <row r="34" ht="42.75" customFormat="1" customHeight="1" s="35">
      <c r="A34" s="41" t="n"/>
      <c r="B34" s="41" t="n"/>
      <c r="C34" s="41" t="n"/>
      <c r="D34" s="41" t="n"/>
      <c r="E34" s="42" t="n"/>
      <c r="F34" s="202" t="n"/>
      <c r="G34" s="203" t="n"/>
      <c r="H34" s="204" t="n"/>
      <c r="I34" s="202" t="n"/>
      <c r="J34" s="177" t="n"/>
      <c r="K34" s="47" t="n"/>
      <c r="L34" s="205" t="n"/>
      <c r="M34" s="49" t="inlineStr">
        <is>
          <t>11/4</t>
        </is>
      </c>
      <c r="N34" s="50" t="n">
        <v>0.8736111111111111</v>
      </c>
      <c r="O34" s="49" t="inlineStr">
        <is>
          <t>11/4</t>
        </is>
      </c>
      <c r="P34" s="53" t="n">
        <v>0.9555555555555556</v>
      </c>
      <c r="Q34" s="41" t="n">
        <v>21</v>
      </c>
      <c r="R34" s="41" t="n"/>
      <c r="S34" s="41" t="n"/>
      <c r="T34" s="41" t="n"/>
      <c r="U34" s="41" t="n"/>
      <c r="V34" s="41" t="n"/>
      <c r="W34" s="51" t="n"/>
    </row>
    <row r="35" ht="42.75" customFormat="1" customHeight="1" s="35">
      <c r="A35" s="41" t="n"/>
      <c r="B35" s="41" t="n"/>
      <c r="C35" s="41" t="n"/>
      <c r="D35" s="41" t="n"/>
      <c r="E35" s="42" t="n"/>
      <c r="F35" s="171" t="n">
        <v>27</v>
      </c>
      <c r="G35" s="44" t="inlineStr">
        <is>
          <t>40644225042</t>
        </is>
      </c>
      <c r="H35" s="45" t="inlineStr">
        <is>
          <t>CAINIAO-E</t>
        </is>
      </c>
      <c r="I35" s="177" t="inlineStr">
        <is>
          <t>ヤマト</t>
        </is>
      </c>
      <c r="J35" s="177" t="inlineStr">
        <is>
          <t>5X0105</t>
        </is>
      </c>
      <c r="K35" s="47" t="inlineStr">
        <is>
          <t>4-Nov</t>
        </is>
      </c>
      <c r="L35" s="205" t="n">
        <v>2452</v>
      </c>
      <c r="M35" s="49" t="inlineStr">
        <is>
          <t>11/4</t>
        </is>
      </c>
      <c r="N35" s="50" t="n">
        <v>0.8576388888888888</v>
      </c>
      <c r="O35" s="49" t="inlineStr">
        <is>
          <t>11/5</t>
        </is>
      </c>
      <c r="P35" s="53" t="n">
        <v>0.2486111111111111</v>
      </c>
      <c r="Q35" s="41" t="n">
        <v>60</v>
      </c>
      <c r="R35" s="41" t="n"/>
      <c r="S35" s="41" t="n"/>
      <c r="T35" s="41" t="n"/>
      <c r="U35" s="41" t="n"/>
      <c r="V35" s="41" t="n"/>
      <c r="W35" s="51" t="n"/>
    </row>
    <row r="36" ht="42.75" customFormat="1" customHeight="1" s="35">
      <c r="A36" s="23" t="n"/>
      <c r="B36" s="23" t="n"/>
      <c r="C36" s="23" t="n"/>
      <c r="D36" s="23" t="n"/>
      <c r="E36" s="24" t="n"/>
      <c r="F36" s="163" t="n">
        <v>28</v>
      </c>
      <c r="G36" s="26" t="inlineStr">
        <is>
          <t>73198537331</t>
        </is>
      </c>
      <c r="H36" s="27" t="inlineStr">
        <is>
          <t>NY</t>
        </is>
      </c>
      <c r="I36" s="169" t="inlineStr">
        <is>
          <t>ヤマト / ネコポス</t>
        </is>
      </c>
      <c r="J36" s="169" t="inlineStr">
        <is>
          <t>MF0839</t>
        </is>
      </c>
      <c r="K36" s="36" t="inlineStr">
        <is>
          <t>3-Nov</t>
        </is>
      </c>
      <c r="L36" s="198" t="n">
        <v>939</v>
      </c>
      <c r="M36" s="33" t="inlineStr">
        <is>
          <t>11/3</t>
        </is>
      </c>
      <c r="N36" s="32" t="n">
        <v>0.7465277777777778</v>
      </c>
      <c r="O36" s="33" t="inlineStr">
        <is>
          <t>11/5</t>
        </is>
      </c>
      <c r="P36" s="37" t="n">
        <v>0.07777777777777778</v>
      </c>
      <c r="Q36" s="23" t="n">
        <v>46</v>
      </c>
      <c r="R36" s="23" t="n"/>
      <c r="S36" s="23" t="n"/>
      <c r="T36" s="23" t="n"/>
      <c r="U36" s="23" t="n"/>
      <c r="V36" s="23" t="n"/>
      <c r="W36" s="34" t="n"/>
    </row>
    <row r="37" ht="42.75" customFormat="1" customHeight="1" s="35">
      <c r="A37" s="41" t="n"/>
      <c r="B37" s="41" t="n"/>
      <c r="C37" s="41" t="n"/>
      <c r="D37" s="41" t="n"/>
      <c r="E37" s="42" t="n"/>
      <c r="F37" s="171" t="n">
        <v>29</v>
      </c>
      <c r="G37" s="44" t="inlineStr">
        <is>
          <t>02399236340</t>
        </is>
      </c>
      <c r="H37" s="45" t="inlineStr">
        <is>
          <t>CAINIAO-E</t>
        </is>
      </c>
      <c r="I37" s="177" t="inlineStr">
        <is>
          <t>ヤマト</t>
        </is>
      </c>
      <c r="J37" s="177" t="inlineStr">
        <is>
          <t>FX5262</t>
        </is>
      </c>
      <c r="K37" s="47" t="inlineStr">
        <is>
          <t>4-Nov</t>
        </is>
      </c>
      <c r="L37" s="205" t="n">
        <v>1847</v>
      </c>
      <c r="M37" s="49" t="inlineStr">
        <is>
          <t>11/4</t>
        </is>
      </c>
      <c r="N37" s="50" t="n">
        <v>0.9965277777777778</v>
      </c>
      <c r="O37" s="49" t="inlineStr">
        <is>
          <t>11/5</t>
        </is>
      </c>
      <c r="P37" s="53" t="n">
        <v>0.3368055555555556</v>
      </c>
      <c r="Q37" s="41" t="n">
        <v>57</v>
      </c>
      <c r="R37" s="41" t="n"/>
      <c r="S37" s="41" t="n"/>
      <c r="T37" s="41" t="n"/>
      <c r="U37" s="41" t="n"/>
      <c r="V37" s="41" t="n"/>
      <c r="W37" s="51" t="n"/>
    </row>
    <row r="38" ht="42.75" customFormat="1" customHeight="1" s="35">
      <c r="A38" s="41" t="n"/>
      <c r="B38" s="41" t="n"/>
      <c r="C38" s="41" t="n"/>
      <c r="D38" s="41" t="n"/>
      <c r="E38" s="42" t="n"/>
      <c r="F38" s="171" t="n">
        <v>30</v>
      </c>
      <c r="G38" s="44" t="inlineStr">
        <is>
          <t>02399135223</t>
        </is>
      </c>
      <c r="H38" s="45" t="inlineStr">
        <is>
          <t>CAINIAO-E</t>
        </is>
      </c>
      <c r="I38" s="177" t="inlineStr">
        <is>
          <t>ヤマト</t>
        </is>
      </c>
      <c r="J38" s="177" t="inlineStr">
        <is>
          <t>FX5262</t>
        </is>
      </c>
      <c r="K38" s="47" t="inlineStr">
        <is>
          <t>4-Nov</t>
        </is>
      </c>
      <c r="L38" s="205" t="n">
        <v>1525</v>
      </c>
      <c r="M38" s="49" t="inlineStr">
        <is>
          <t>11/4</t>
        </is>
      </c>
      <c r="N38" s="50" t="n">
        <v>0.9965277777777778</v>
      </c>
      <c r="O38" s="49" t="n"/>
      <c r="P38" s="41" t="n"/>
      <c r="Q38" s="41" t="n">
        <v>50</v>
      </c>
      <c r="R38" s="41" t="n"/>
      <c r="S38" s="41" t="n"/>
      <c r="T38" s="41" t="n"/>
      <c r="U38" s="41" t="n"/>
      <c r="V38" s="41" t="n"/>
      <c r="W38" s="51" t="n"/>
    </row>
    <row r="39" ht="42.75" customFormat="1" customHeight="1" s="52">
      <c r="A39" s="41" t="n"/>
      <c r="B39" s="41" t="n"/>
      <c r="C39" s="41" t="n"/>
      <c r="D39" s="41" t="n"/>
      <c r="E39" s="42" t="n"/>
      <c r="F39" s="171" t="n">
        <v>31</v>
      </c>
      <c r="G39" s="44" t="inlineStr">
        <is>
          <t>40644225031</t>
        </is>
      </c>
      <c r="H39" s="45" t="inlineStr">
        <is>
          <t>CAINIAO-E</t>
        </is>
      </c>
      <c r="I39" s="177" t="inlineStr">
        <is>
          <t>ヤマト</t>
        </is>
      </c>
      <c r="J39" s="177" t="inlineStr">
        <is>
          <t>5X0105</t>
        </is>
      </c>
      <c r="K39" s="47" t="inlineStr">
        <is>
          <t>4-Nov</t>
        </is>
      </c>
      <c r="L39" s="205" t="n">
        <v>669</v>
      </c>
      <c r="M39" s="49" t="inlineStr">
        <is>
          <t>11/4</t>
        </is>
      </c>
      <c r="N39" s="50" t="n">
        <v>0.9236111111111112</v>
      </c>
      <c r="O39" s="49" t="inlineStr">
        <is>
          <t>11/5</t>
        </is>
      </c>
      <c r="P39" s="53" t="n">
        <v>0.1611111111111111</v>
      </c>
      <c r="Q39" s="41" t="n">
        <v>20</v>
      </c>
      <c r="R39" s="41" t="n"/>
      <c r="S39" s="41" t="n"/>
      <c r="T39" s="41" t="n"/>
      <c r="U39" s="41" t="n"/>
      <c r="V39" s="41" t="n"/>
      <c r="W39" s="51" t="n"/>
    </row>
    <row r="40" ht="42.75" customFormat="1" customHeight="1" s="52">
      <c r="A40" s="41" t="n"/>
      <c r="B40" s="41" t="n"/>
      <c r="C40" s="41" t="n"/>
      <c r="D40" s="41" t="n"/>
      <c r="E40" s="42" t="n"/>
      <c r="F40" s="171" t="n">
        <v>32</v>
      </c>
      <c r="G40" s="44" t="inlineStr">
        <is>
          <t>78481571626</t>
        </is>
      </c>
      <c r="H40" s="45" t="inlineStr">
        <is>
          <t>CAINIAO-E</t>
        </is>
      </c>
      <c r="I40" s="177" t="inlineStr">
        <is>
          <t>ヤマト</t>
        </is>
      </c>
      <c r="J40" s="177" t="inlineStr">
        <is>
          <t>CZ0389</t>
        </is>
      </c>
      <c r="K40" s="47" t="inlineStr">
        <is>
          <t>4-Nov</t>
        </is>
      </c>
      <c r="L40" s="205" t="n">
        <v>1395</v>
      </c>
      <c r="M40" s="49" t="inlineStr">
        <is>
          <t>11/4</t>
        </is>
      </c>
      <c r="N40" s="50" t="n">
        <v>0.5895833333333333</v>
      </c>
      <c r="O40" s="49" t="inlineStr">
        <is>
          <t>11/4</t>
        </is>
      </c>
      <c r="P40" s="53" t="n">
        <v>0.8541666666666666</v>
      </c>
      <c r="Q40" s="41" t="n">
        <v>33</v>
      </c>
      <c r="R40" s="41" t="n"/>
      <c r="S40" s="41" t="n"/>
      <c r="T40" s="41" t="n"/>
      <c r="U40" s="41" t="n"/>
      <c r="V40" s="41" t="n"/>
      <c r="W40" s="51" t="n"/>
    </row>
    <row r="41" ht="42.75" customFormat="1" customHeight="1" s="78">
      <c r="A41" s="66" t="n"/>
      <c r="B41" s="66" t="n"/>
      <c r="C41" s="66" t="n"/>
      <c r="D41" s="66" t="n"/>
      <c r="E41" s="67" t="n"/>
      <c r="F41" s="68" t="n">
        <v>33</v>
      </c>
      <c r="G41" s="69" t="inlineStr">
        <is>
          <t>08901339660</t>
        </is>
      </c>
      <c r="H41" s="70" t="inlineStr">
        <is>
          <t>CNE</t>
        </is>
      </c>
      <c r="I41" s="71" t="inlineStr">
        <is>
          <t>ヤマト / ネコポス / エスポ便（27）</t>
        </is>
      </c>
      <c r="J41" s="71" t="inlineStr">
        <is>
          <t>9C6591</t>
        </is>
      </c>
      <c r="K41" s="72" t="inlineStr">
        <is>
          <t>4-Nov</t>
        </is>
      </c>
      <c r="L41" s="210" t="n">
        <v>658</v>
      </c>
      <c r="M41" s="74" t="inlineStr">
        <is>
          <t>11/4</t>
        </is>
      </c>
      <c r="N41" s="75" t="n">
        <v>0.7840277777777778</v>
      </c>
      <c r="O41" s="74" t="inlineStr">
        <is>
          <t>11/5</t>
        </is>
      </c>
      <c r="P41" s="76" t="n">
        <v>0.08611111111111111</v>
      </c>
      <c r="Q41" s="66" t="n">
        <v>35</v>
      </c>
      <c r="R41" s="66" t="n"/>
      <c r="S41" s="66" t="n"/>
      <c r="T41" s="66" t="n"/>
      <c r="U41" s="66" t="n"/>
      <c r="V41" s="66" t="n"/>
      <c r="W41" s="77" t="n"/>
    </row>
    <row r="42" ht="42.75" customFormat="1" customHeight="1" s="35">
      <c r="A42" s="23" t="n"/>
      <c r="B42" s="23" t="n"/>
      <c r="C42" s="23" t="n"/>
      <c r="D42" s="23" t="n"/>
      <c r="E42" s="24" t="n"/>
      <c r="F42" s="163" t="n">
        <v>34</v>
      </c>
      <c r="G42" s="26" t="inlineStr">
        <is>
          <t>01892101063</t>
        </is>
      </c>
      <c r="H42" s="27" t="inlineStr">
        <is>
          <t>CNE</t>
        </is>
      </c>
      <c r="I42" s="169" t="inlineStr">
        <is>
          <t>ヤマト</t>
        </is>
      </c>
      <c r="J42" s="169" t="inlineStr">
        <is>
          <t>HO1571</t>
        </is>
      </c>
      <c r="K42" s="36" t="inlineStr">
        <is>
          <t>4-Nov</t>
        </is>
      </c>
      <c r="L42" s="198" t="n">
        <v>510</v>
      </c>
      <c r="M42" s="33" t="inlineStr">
        <is>
          <t>11/4</t>
        </is>
      </c>
      <c r="N42" s="32" t="n">
        <v>0.5840277777777778</v>
      </c>
      <c r="O42" s="33" t="n"/>
      <c r="P42" s="23" t="n"/>
      <c r="Q42" s="23" t="n"/>
      <c r="R42" s="23" t="n"/>
      <c r="S42" s="23" t="n"/>
      <c r="T42" s="23" t="n"/>
      <c r="U42" s="23" t="n"/>
      <c r="V42" s="23" t="n"/>
      <c r="W42" s="34" t="n"/>
    </row>
    <row r="43" ht="42.75" customFormat="1" customHeight="1" s="35">
      <c r="A43" s="23" t="n"/>
      <c r="B43" s="23" t="n"/>
      <c r="C43" s="23" t="n"/>
      <c r="D43" s="23" t="n"/>
      <c r="E43" s="24" t="n"/>
      <c r="F43" s="163" t="n">
        <v>35</v>
      </c>
      <c r="G43" s="26" t="inlineStr">
        <is>
          <t>47936170481</t>
        </is>
      </c>
      <c r="H43" s="27" t="inlineStr">
        <is>
          <t>NY</t>
        </is>
      </c>
      <c r="I43" s="169" t="inlineStr">
        <is>
          <t>ヤマト</t>
        </is>
      </c>
      <c r="J43" s="169" t="inlineStr">
        <is>
          <t>ZH0661</t>
        </is>
      </c>
      <c r="K43" s="36" t="inlineStr">
        <is>
          <t>4-Nov</t>
        </is>
      </c>
      <c r="L43" s="198" t="n">
        <v>174</v>
      </c>
      <c r="M43" s="33" t="inlineStr">
        <is>
          <t>11/4</t>
        </is>
      </c>
      <c r="N43" s="32" t="n">
        <v>0.5868055555555556</v>
      </c>
      <c r="O43" s="33" t="inlineStr">
        <is>
          <t>11/4</t>
        </is>
      </c>
      <c r="P43" s="37" t="n">
        <v>0.6423611111111112</v>
      </c>
      <c r="Q43" s="23" t="n">
        <v>10</v>
      </c>
      <c r="R43" s="23" t="n"/>
      <c r="S43" s="23" t="n"/>
      <c r="T43" s="23" t="n"/>
      <c r="U43" s="23" t="n"/>
      <c r="V43" s="23" t="n"/>
      <c r="W43" s="34" t="n"/>
    </row>
    <row r="44" ht="42.75" customFormat="1" customHeight="1" s="35">
      <c r="A44" s="23" t="n"/>
      <c r="B44" s="23" t="n"/>
      <c r="C44" s="23" t="n"/>
      <c r="D44" s="23" t="n"/>
      <c r="E44" s="24" t="n"/>
      <c r="F44" s="163" t="n">
        <v>36</v>
      </c>
      <c r="G44" s="26" t="inlineStr">
        <is>
          <t>92149452745</t>
        </is>
      </c>
      <c r="H44" s="27" t="inlineStr">
        <is>
          <t>NY</t>
        </is>
      </c>
      <c r="I44" s="169" t="inlineStr">
        <is>
          <t>ヤマト</t>
        </is>
      </c>
      <c r="J44" s="169" t="inlineStr">
        <is>
          <t>O30277</t>
        </is>
      </c>
      <c r="K44" s="36" t="inlineStr">
        <is>
          <t>4-Nov</t>
        </is>
      </c>
      <c r="L44" s="198" t="n">
        <v>44</v>
      </c>
      <c r="M44" s="33" t="inlineStr">
        <is>
          <t>11/4</t>
        </is>
      </c>
      <c r="N44" s="32" t="n">
        <v>0.5486111111111112</v>
      </c>
      <c r="O44" s="33" t="n"/>
      <c r="P44" s="23" t="n"/>
      <c r="Q44" s="23" t="n">
        <v>4</v>
      </c>
      <c r="R44" s="23" t="n"/>
      <c r="S44" s="23" t="n"/>
      <c r="T44" s="23" t="n"/>
      <c r="U44" s="23" t="n"/>
      <c r="V44" s="23" t="n"/>
      <c r="W44" s="34" t="n"/>
    </row>
    <row r="45" ht="42.75" customFormat="1" customHeight="1" s="35">
      <c r="A45" s="23" t="n"/>
      <c r="B45" s="23" t="n"/>
      <c r="C45" s="23" t="n"/>
      <c r="D45" s="23" t="n"/>
      <c r="E45" s="24" t="n"/>
      <c r="F45" s="163" t="n">
        <v>37</v>
      </c>
      <c r="G45" s="26" t="inlineStr">
        <is>
          <t>47936182230</t>
        </is>
      </c>
      <c r="H45" s="27" t="inlineStr">
        <is>
          <t>NY</t>
        </is>
      </c>
      <c r="I45" s="169" t="inlineStr">
        <is>
          <t>ヤマト / ネコポス</t>
        </is>
      </c>
      <c r="J45" s="169" t="inlineStr">
        <is>
          <t>ZH0661</t>
        </is>
      </c>
      <c r="K45" s="36" t="inlineStr">
        <is>
          <t>4-Nov</t>
        </is>
      </c>
      <c r="L45" s="198" t="n">
        <v>449</v>
      </c>
      <c r="M45" s="33" t="inlineStr">
        <is>
          <t>11/4</t>
        </is>
      </c>
      <c r="N45" s="32" t="n">
        <v>0.5868055555555556</v>
      </c>
      <c r="O45" s="33" t="inlineStr">
        <is>
          <t>11/4</t>
        </is>
      </c>
      <c r="P45" s="37" t="n">
        <v>0.6548611111111111</v>
      </c>
      <c r="Q45" s="23" t="n">
        <v>24</v>
      </c>
      <c r="R45" s="23" t="n"/>
      <c r="S45" s="23" t="n"/>
      <c r="T45" s="23" t="n"/>
      <c r="U45" s="23" t="n"/>
      <c r="V45" s="23" t="n"/>
      <c r="W45" s="34" t="n"/>
    </row>
    <row r="46" ht="42.75" customFormat="1" customHeight="1" s="90">
      <c r="A46" s="79" t="n"/>
      <c r="B46" s="79" t="n"/>
      <c r="C46" s="79" t="n"/>
      <c r="D46" s="79" t="n"/>
      <c r="E46" s="80" t="n"/>
      <c r="F46" s="81" t="n">
        <v>38</v>
      </c>
      <c r="G46" s="82" t="inlineStr">
        <is>
          <t>18043452916</t>
        </is>
      </c>
      <c r="H46" s="83" t="inlineStr">
        <is>
          <t>MMA-CN</t>
        </is>
      </c>
      <c r="I46" s="84" t="inlineStr">
        <is>
          <t>ヤマト</t>
        </is>
      </c>
      <c r="J46" s="84" t="inlineStr">
        <is>
          <t>KE0723</t>
        </is>
      </c>
      <c r="K46" s="85" t="inlineStr">
        <is>
          <t>5-Nov</t>
        </is>
      </c>
      <c r="L46" s="211" t="n">
        <v>2047</v>
      </c>
      <c r="M46" s="87" t="inlineStr">
        <is>
          <t>11/5</t>
        </is>
      </c>
      <c r="N46" s="88" t="n">
        <v>0.46875</v>
      </c>
      <c r="O46" s="87" t="n"/>
      <c r="P46" s="79" t="n"/>
      <c r="Q46" s="79" t="n"/>
      <c r="R46" s="79" t="n"/>
      <c r="S46" s="79" t="n"/>
      <c r="T46" s="79" t="n"/>
      <c r="U46" s="79" t="n"/>
      <c r="V46" s="79" t="n"/>
      <c r="W46" s="89" t="n"/>
    </row>
    <row r="47" ht="42.75" customFormat="1" customHeight="1" s="90">
      <c r="A47" s="79" t="n"/>
      <c r="B47" s="79" t="n"/>
      <c r="C47" s="79" t="n"/>
      <c r="D47" s="79" t="n"/>
      <c r="E47" s="80" t="n"/>
      <c r="F47" s="81" t="n">
        <v>39</v>
      </c>
      <c r="G47" s="82" t="inlineStr">
        <is>
          <t>18043452920</t>
        </is>
      </c>
      <c r="H47" s="83" t="inlineStr">
        <is>
          <t>MMA-CN</t>
        </is>
      </c>
      <c r="I47" s="84" t="inlineStr">
        <is>
          <t>ヤマト</t>
        </is>
      </c>
      <c r="J47" s="84" t="inlineStr">
        <is>
          <t>KE0723</t>
        </is>
      </c>
      <c r="K47" s="85" t="inlineStr">
        <is>
          <t>5-Nov</t>
        </is>
      </c>
      <c r="L47" s="211" t="n">
        <v>2961</v>
      </c>
      <c r="M47" s="87" t="inlineStr">
        <is>
          <t>11/5</t>
        </is>
      </c>
      <c r="N47" s="88" t="n">
        <v>0.46875</v>
      </c>
      <c r="O47" s="87" t="n"/>
      <c r="P47" s="79" t="n"/>
      <c r="Q47" s="79" t="n"/>
      <c r="R47" s="79" t="n"/>
      <c r="S47" s="79" t="n"/>
      <c r="T47" s="79" t="n"/>
      <c r="U47" s="79" t="n"/>
      <c r="V47" s="79" t="n"/>
      <c r="W47" s="89" t="n"/>
    </row>
    <row r="48" ht="42.75" customFormat="1" customHeight="1" s="35">
      <c r="A48" s="23" t="n"/>
      <c r="B48" s="23" t="n"/>
      <c r="C48" s="23" t="n"/>
      <c r="D48" s="23" t="n"/>
      <c r="E48" s="24" t="n"/>
      <c r="F48" s="163" t="n">
        <v>40</v>
      </c>
      <c r="G48" s="26" t="inlineStr">
        <is>
          <t>73198562601</t>
        </is>
      </c>
      <c r="H48" s="27" t="inlineStr">
        <is>
          <t>RG</t>
        </is>
      </c>
      <c r="I48" s="40" t="inlineStr">
        <is>
          <t>ヤマト / ネコポス / 佐川(299)</t>
        </is>
      </c>
      <c r="J48" s="169" t="inlineStr">
        <is>
          <t>MF8653</t>
        </is>
      </c>
      <c r="K48" s="36" t="inlineStr">
        <is>
          <t>4-Nov</t>
        </is>
      </c>
      <c r="L48" s="198" t="n">
        <v>414</v>
      </c>
      <c r="M48" s="33" t="inlineStr">
        <is>
          <t>11/4</t>
        </is>
      </c>
      <c r="N48" s="32" t="n">
        <v>0.53125</v>
      </c>
      <c r="O48" s="33" t="inlineStr">
        <is>
          <t>11/4</t>
        </is>
      </c>
      <c r="P48" s="37" t="n">
        <v>0.6833333333333333</v>
      </c>
      <c r="Q48" s="23" t="n">
        <v>111</v>
      </c>
      <c r="R48" s="23" t="n"/>
      <c r="S48" s="23" t="n"/>
      <c r="T48" s="23" t="n"/>
      <c r="U48" s="23" t="n"/>
      <c r="V48" s="23" t="n"/>
      <c r="W48" s="34" t="inlineStr">
        <is>
          <t>佐川あり</t>
        </is>
      </c>
    </row>
    <row r="49" ht="42.75" customFormat="1" customHeight="1" s="35">
      <c r="A49" s="23" t="n"/>
      <c r="B49" s="23" t="n"/>
      <c r="C49" s="23" t="n"/>
      <c r="D49" s="23" t="n"/>
      <c r="E49" s="24" t="n"/>
      <c r="F49" s="163" t="n">
        <v>41</v>
      </c>
      <c r="G49" s="26" t="inlineStr">
        <is>
          <t>72230142674</t>
        </is>
      </c>
      <c r="H49" s="27" t="inlineStr">
        <is>
          <t>RG</t>
        </is>
      </c>
      <c r="I49" s="169" t="inlineStr">
        <is>
          <t>ヤマト / 佐川（162）</t>
        </is>
      </c>
      <c r="J49" s="169" t="inlineStr">
        <is>
          <t>TW0303</t>
        </is>
      </c>
      <c r="K49" s="36" t="inlineStr">
        <is>
          <t>4-Nov</t>
        </is>
      </c>
      <c r="L49" s="198" t="n">
        <v>168</v>
      </c>
      <c r="M49" s="33" t="inlineStr">
        <is>
          <t>11/4</t>
        </is>
      </c>
      <c r="N49" s="32" t="n">
        <v>0.5736111111111111</v>
      </c>
      <c r="O49" s="33" t="n"/>
      <c r="P49" s="23" t="n"/>
      <c r="Q49" s="23" t="n">
        <v>12</v>
      </c>
      <c r="R49" s="23" t="n"/>
      <c r="S49" s="23" t="n"/>
      <c r="T49" s="23" t="n"/>
      <c r="U49" s="23" t="n"/>
      <c r="V49" s="23" t="n"/>
      <c r="W49" s="34" t="inlineStr">
        <is>
          <t>佐川あり/佐川出荷止め</t>
        </is>
      </c>
    </row>
    <row r="50" ht="42.75" customFormat="1" customHeight="1" s="35">
      <c r="A50" s="23" t="n"/>
      <c r="B50" s="23" t="n"/>
      <c r="C50" s="23" t="n"/>
      <c r="D50" s="23" t="n"/>
      <c r="E50" s="24" t="n"/>
      <c r="F50" s="163" t="n">
        <v>42</v>
      </c>
      <c r="G50" s="26" t="inlineStr">
        <is>
          <t>18043444424</t>
        </is>
      </c>
      <c r="H50" s="27" t="inlineStr">
        <is>
          <t>NY</t>
        </is>
      </c>
      <c r="I50" s="169" t="inlineStr">
        <is>
          <t>ヤマト</t>
        </is>
      </c>
      <c r="J50" s="169" t="inlineStr">
        <is>
          <t>KE0553</t>
        </is>
      </c>
      <c r="K50" s="36" t="inlineStr">
        <is>
          <t>4-Nov</t>
        </is>
      </c>
      <c r="L50" s="198" t="n">
        <v>470</v>
      </c>
      <c r="M50" s="33" t="inlineStr">
        <is>
          <t>11/4</t>
        </is>
      </c>
      <c r="N50" s="32" t="n">
        <v>0.6756944444444445</v>
      </c>
      <c r="O50" s="33" t="inlineStr">
        <is>
          <t>11/4</t>
        </is>
      </c>
      <c r="P50" s="37" t="n">
        <v>0.8583333333333333</v>
      </c>
      <c r="Q50" s="23" t="n">
        <v>9</v>
      </c>
      <c r="R50" s="23" t="n"/>
      <c r="S50" s="23" t="n"/>
      <c r="T50" s="23" t="n"/>
      <c r="U50" s="23" t="n"/>
      <c r="V50" s="23" t="n"/>
      <c r="W50" s="34" t="n"/>
    </row>
    <row r="51" ht="42.75" customFormat="1" customHeight="1" s="35">
      <c r="A51" s="23" t="n"/>
      <c r="B51" s="23" t="n"/>
      <c r="C51" s="23" t="n"/>
      <c r="D51" s="23" t="n"/>
      <c r="E51" s="24" t="n"/>
      <c r="F51" s="163" t="n">
        <v>44</v>
      </c>
      <c r="G51" s="26" t="inlineStr">
        <is>
          <t>32402886122</t>
        </is>
      </c>
      <c r="H51" s="27" t="inlineStr">
        <is>
          <t>YTO</t>
        </is>
      </c>
      <c r="I51" s="169" t="inlineStr">
        <is>
          <t>ネコポス / 佐川（204）</t>
        </is>
      </c>
      <c r="J51" s="169" t="inlineStr">
        <is>
          <t>SC4093</t>
        </is>
      </c>
      <c r="K51" s="36" t="inlineStr">
        <is>
          <t>4-Nov</t>
        </is>
      </c>
      <c r="L51" s="198" t="n">
        <v>350</v>
      </c>
      <c r="M51" s="33" t="inlineStr">
        <is>
          <t>11/4</t>
        </is>
      </c>
      <c r="N51" s="32" t="n">
        <v>0.6777777777777778</v>
      </c>
      <c r="O51" s="33" t="inlineStr">
        <is>
          <t>11/4</t>
        </is>
      </c>
      <c r="P51" s="37" t="n">
        <v>0.7381944444444445</v>
      </c>
      <c r="Q51" s="23" t="n">
        <v>11</v>
      </c>
      <c r="R51" s="23" t="n"/>
      <c r="S51" s="23" t="n"/>
      <c r="T51" s="23" t="n"/>
      <c r="U51" s="23" t="n"/>
      <c r="V51" s="23" t="n"/>
      <c r="W51" s="34" t="inlineStr">
        <is>
          <t>佐川あり</t>
        </is>
      </c>
    </row>
    <row r="52" ht="42.75" customFormat="1" customHeight="1" s="35">
      <c r="A52" s="23" t="n"/>
      <c r="B52" s="23" t="n"/>
      <c r="C52" s="23" t="n"/>
      <c r="D52" s="23" t="n"/>
      <c r="E52" s="24" t="n"/>
      <c r="F52" s="163" t="n">
        <v>45</v>
      </c>
      <c r="G52" s="26" t="inlineStr">
        <is>
          <t>18043444435</t>
        </is>
      </c>
      <c r="H52" s="27" t="inlineStr">
        <is>
          <t>NY</t>
        </is>
      </c>
      <c r="I52" s="169" t="inlineStr">
        <is>
          <t>ヤマト</t>
        </is>
      </c>
      <c r="J52" s="169" t="inlineStr">
        <is>
          <t>KE0723</t>
        </is>
      </c>
      <c r="K52" s="36" t="inlineStr">
        <is>
          <t>4-Nov</t>
        </is>
      </c>
      <c r="L52" s="198" t="n">
        <v>561</v>
      </c>
      <c r="M52" s="33" t="inlineStr">
        <is>
          <t>11/4</t>
        </is>
      </c>
      <c r="N52" s="32" t="n">
        <v>0.46875</v>
      </c>
      <c r="O52" s="33" t="n"/>
      <c r="P52" s="23" t="n"/>
      <c r="Q52" s="23" t="n"/>
      <c r="R52" s="23" t="n"/>
      <c r="S52" s="23" t="n"/>
      <c r="T52" s="23" t="n"/>
      <c r="U52" s="23" t="n"/>
      <c r="V52" s="23" t="n"/>
      <c r="W52" s="34" t="n"/>
    </row>
    <row r="53" ht="42.75" customFormat="1" customHeight="1" s="35">
      <c r="A53" s="23" t="n"/>
      <c r="B53" s="23" t="n"/>
      <c r="C53" s="23" t="n"/>
      <c r="D53" s="23" t="n"/>
      <c r="E53" s="24" t="n"/>
      <c r="F53" s="163" t="n">
        <v>46</v>
      </c>
      <c r="G53" s="26" t="inlineStr">
        <is>
          <t>01892093735</t>
        </is>
      </c>
      <c r="H53" s="27" t="inlineStr">
        <is>
          <t>CNE</t>
        </is>
      </c>
      <c r="I53" s="169" t="inlineStr">
        <is>
          <t>ヤマト</t>
        </is>
      </c>
      <c r="J53" s="169" t="inlineStr">
        <is>
          <t>HO1505</t>
        </is>
      </c>
      <c r="K53" s="36" t="inlineStr">
        <is>
          <t>4-Nov</t>
        </is>
      </c>
      <c r="L53" s="198" t="n">
        <v>696</v>
      </c>
      <c r="M53" s="33" t="inlineStr">
        <is>
          <t>11/4</t>
        </is>
      </c>
      <c r="N53" s="32" t="n">
        <v>0.4583333333333333</v>
      </c>
      <c r="O53" s="33" t="inlineStr">
        <is>
          <t>11/5</t>
        </is>
      </c>
      <c r="P53" s="37" t="n">
        <v>0.33125</v>
      </c>
      <c r="Q53" s="23" t="n">
        <v>21</v>
      </c>
      <c r="R53" s="23" t="n"/>
      <c r="S53" s="23" t="n"/>
      <c r="T53" s="23" t="n"/>
      <c r="U53" s="23" t="n"/>
      <c r="V53" s="23" t="n"/>
      <c r="W53" s="34" t="n"/>
    </row>
    <row r="54" ht="42.75" customFormat="1" customHeight="1" s="35">
      <c r="A54" s="23" t="n"/>
      <c r="B54" s="23" t="n"/>
      <c r="C54" s="23" t="n"/>
      <c r="D54" s="23" t="n"/>
      <c r="E54" s="24" t="n"/>
      <c r="F54" s="163" t="n">
        <v>47</v>
      </c>
      <c r="G54" s="26" t="inlineStr">
        <is>
          <t>78441581971</t>
        </is>
      </c>
      <c r="H54" s="27" t="inlineStr">
        <is>
          <t>CNE</t>
        </is>
      </c>
      <c r="I54" s="169" t="inlineStr">
        <is>
          <t>ヤマト / ネコポス</t>
        </is>
      </c>
      <c r="J54" s="169" t="inlineStr">
        <is>
          <t>CZ8105</t>
        </is>
      </c>
      <c r="K54" s="36" t="inlineStr">
        <is>
          <t>4-Nov</t>
        </is>
      </c>
      <c r="L54" s="198" t="n">
        <v>1151</v>
      </c>
      <c r="M54" s="33" t="inlineStr">
        <is>
          <t>11/4</t>
        </is>
      </c>
      <c r="N54" s="32" t="n">
        <v>0.6465277777777778</v>
      </c>
      <c r="O54" s="33" t="inlineStr">
        <is>
          <t>11/4</t>
        </is>
      </c>
      <c r="P54" s="37" t="n">
        <v>0.9152777777777777</v>
      </c>
      <c r="Q54" s="23" t="n">
        <v>49</v>
      </c>
      <c r="R54" s="23" t="n"/>
      <c r="S54" s="23" t="n"/>
      <c r="T54" s="23" t="n"/>
      <c r="U54" s="23" t="n"/>
      <c r="V54" s="23" t="n"/>
      <c r="W54" s="34" t="n"/>
    </row>
    <row r="55" ht="42.75" customFormat="1" customHeight="1" s="35">
      <c r="A55" s="23" t="n"/>
      <c r="B55" s="23" t="n"/>
      <c r="C55" s="23" t="n"/>
      <c r="D55" s="23" t="n"/>
      <c r="E55" s="24" t="n"/>
      <c r="F55" s="163" t="n">
        <v>48</v>
      </c>
      <c r="G55" s="26" t="inlineStr">
        <is>
          <t>92149766522</t>
        </is>
      </c>
      <c r="H55" s="27" t="inlineStr">
        <is>
          <t>YTO</t>
        </is>
      </c>
      <c r="I55" s="169" t="inlineStr">
        <is>
          <t>佐川</t>
        </is>
      </c>
      <c r="J55" s="169" t="inlineStr">
        <is>
          <t>O30277</t>
        </is>
      </c>
      <c r="K55" s="36" t="inlineStr">
        <is>
          <t>4-Nov</t>
        </is>
      </c>
      <c r="L55" s="198" t="n">
        <v>486</v>
      </c>
      <c r="M55" s="33" t="inlineStr">
        <is>
          <t>11/4</t>
        </is>
      </c>
      <c r="N55" s="32" t="n">
        <v>0.5486111111111112</v>
      </c>
      <c r="O55" s="33" t="n"/>
      <c r="P55" s="23" t="n"/>
      <c r="Q55" s="23" t="n">
        <v>49</v>
      </c>
      <c r="R55" s="23" t="n"/>
      <c r="S55" s="23" t="n"/>
      <c r="T55" s="23" t="n"/>
      <c r="U55" s="23" t="n"/>
      <c r="V55" s="23" t="n"/>
      <c r="W55" s="34" t="inlineStr">
        <is>
          <t>佐川あり</t>
        </is>
      </c>
    </row>
    <row r="56" ht="42.75" customFormat="1" customHeight="1" s="35">
      <c r="A56" s="23" t="n"/>
      <c r="B56" s="23" t="n"/>
      <c r="C56" s="23" t="n"/>
      <c r="D56" s="23" t="n"/>
      <c r="E56" s="24" t="inlineStr">
        <is>
          <t>Ｓ</t>
        </is>
      </c>
      <c r="F56" s="23" t="n">
        <v>49</v>
      </c>
      <c r="G56" s="199" t="inlineStr">
        <is>
          <t>47935695564</t>
        </is>
      </c>
      <c r="H56" s="200" t="inlineStr">
        <is>
          <t>MMA</t>
        </is>
      </c>
      <c r="I56" s="169" t="inlineStr">
        <is>
          <t>ヤマト</t>
        </is>
      </c>
      <c r="J56" s="169" t="inlineStr">
        <is>
          <t>ZH0685</t>
        </is>
      </c>
      <c r="K56" s="36" t="inlineStr">
        <is>
          <t>4-Nov</t>
        </is>
      </c>
      <c r="L56" s="201" t="n">
        <v>49</v>
      </c>
      <c r="M56" s="33" t="inlineStr">
        <is>
          <t>11/4</t>
        </is>
      </c>
      <c r="N56" s="32" t="n">
        <v>0.5340277777777778</v>
      </c>
      <c r="O56" s="33" t="inlineStr">
        <is>
          <t>11/4</t>
        </is>
      </c>
      <c r="P56" s="37" t="n">
        <v>0.6069444444444444</v>
      </c>
      <c r="Q56" s="23" t="inlineStr">
        <is>
          <t>7 / 33</t>
        </is>
      </c>
      <c r="R56" s="23" t="n"/>
      <c r="S56" s="23" t="inlineStr">
        <is>
          <t>✓</t>
        </is>
      </c>
      <c r="T56" s="23" t="inlineStr">
        <is>
          <t>✓</t>
        </is>
      </c>
      <c r="U56" s="23" t="inlineStr">
        <is>
          <t>✓</t>
        </is>
      </c>
      <c r="V56" s="23" t="inlineStr">
        <is>
          <t>✓</t>
        </is>
      </c>
      <c r="W56" s="34" t="n"/>
    </row>
    <row r="57" ht="42.75" customFormat="1" customHeight="1" s="35">
      <c r="A57" s="23" t="n"/>
      <c r="B57" s="23" t="n"/>
      <c r="C57" s="23" t="n"/>
      <c r="D57" s="23" t="n"/>
      <c r="E57" s="24" t="n"/>
      <c r="F57" s="202" t="n"/>
      <c r="G57" s="203" t="n"/>
      <c r="H57" s="204" t="n"/>
      <c r="I57" s="169" t="n"/>
      <c r="J57" s="169" t="n"/>
      <c r="K57" s="36" t="n"/>
      <c r="L57" s="198" t="n">
        <v>225</v>
      </c>
      <c r="M57" s="33" t="n"/>
      <c r="N57" s="32" t="n"/>
      <c r="O57" s="33" t="n"/>
      <c r="P57" s="37" t="n"/>
      <c r="Q57" s="23" t="n"/>
      <c r="R57" s="23" t="n"/>
      <c r="S57" s="23" t="n"/>
      <c r="T57" s="23" t="n"/>
      <c r="U57" s="23" t="n"/>
      <c r="V57" s="23" t="n"/>
      <c r="W57" s="34" t="n"/>
    </row>
    <row r="58" ht="42.75" customFormat="1" customHeight="1" s="35">
      <c r="A58" s="23" t="n"/>
      <c r="B58" s="23" t="n"/>
      <c r="C58" s="23" t="n"/>
      <c r="D58" s="23" t="n"/>
      <c r="E58" s="24" t="n"/>
      <c r="F58" s="163" t="n">
        <v>51</v>
      </c>
      <c r="G58" s="26" t="inlineStr">
        <is>
          <t>16003137713</t>
        </is>
      </c>
      <c r="H58" s="27" t="inlineStr">
        <is>
          <t>YTO</t>
        </is>
      </c>
      <c r="I58" s="169" t="inlineStr">
        <is>
          <t>佐川</t>
        </is>
      </c>
      <c r="J58" s="91" t="inlineStr">
        <is>
          <t>CX0036</t>
        </is>
      </c>
      <c r="K58" s="36" t="inlineStr">
        <is>
          <t>4-Nov</t>
        </is>
      </c>
      <c r="L58" s="198" t="n">
        <v>365</v>
      </c>
      <c r="M58" s="33" t="inlineStr">
        <is>
          <t>11/4</t>
        </is>
      </c>
      <c r="N58" s="32" t="n">
        <v>0.6805555555555556</v>
      </c>
      <c r="O58" s="33" t="n"/>
      <c r="P58" s="23" t="n"/>
      <c r="Q58" s="23" t="n">
        <v>27</v>
      </c>
      <c r="R58" s="23" t="n"/>
      <c r="S58" s="23" t="n"/>
      <c r="T58" s="23" t="n"/>
      <c r="U58" s="23" t="n"/>
      <c r="V58" s="23" t="n"/>
      <c r="W58" s="34" t="inlineStr">
        <is>
          <t>佐川あり</t>
        </is>
      </c>
    </row>
    <row r="59" ht="42.75" customFormat="1" customHeight="1" s="35">
      <c r="A59" s="23" t="n"/>
      <c r="B59" s="23" t="n"/>
      <c r="C59" s="23" t="n"/>
      <c r="D59" s="23" t="n"/>
      <c r="E59" s="24" t="n"/>
      <c r="F59" s="163" t="n">
        <v>52</v>
      </c>
      <c r="G59" s="26" t="inlineStr">
        <is>
          <t>11239343544</t>
        </is>
      </c>
      <c r="H59" s="27" t="inlineStr">
        <is>
          <t>YTO</t>
        </is>
      </c>
      <c r="I59" s="169" t="inlineStr">
        <is>
          <t>ヤマト / ネコポス / 佐川（239）</t>
        </is>
      </c>
      <c r="J59" s="91" t="inlineStr">
        <is>
          <t>MU729</t>
        </is>
      </c>
      <c r="K59" s="36" t="inlineStr">
        <is>
          <t>4-Nov</t>
        </is>
      </c>
      <c r="L59" s="198" t="n">
        <v>337</v>
      </c>
      <c r="M59" s="33" t="inlineStr">
        <is>
          <t>11/4</t>
        </is>
      </c>
      <c r="N59" s="92" t="n">
        <v>0.8604166666666667</v>
      </c>
      <c r="O59" s="33" t="n"/>
      <c r="P59" s="23" t="n"/>
      <c r="Q59" s="23" t="n"/>
      <c r="R59" s="23" t="n"/>
      <c r="S59" s="23" t="n"/>
      <c r="T59" s="23" t="n"/>
      <c r="U59" s="23" t="n"/>
      <c r="V59" s="23" t="n"/>
      <c r="W59" s="34" t="inlineStr">
        <is>
          <t>佐川あり</t>
        </is>
      </c>
    </row>
    <row r="60" ht="42.75" customFormat="1" customHeight="1" s="35">
      <c r="A60" s="23" t="n"/>
      <c r="B60" s="23" t="n"/>
      <c r="C60" s="23" t="n"/>
      <c r="D60" s="23" t="n"/>
      <c r="E60" s="24" t="n"/>
      <c r="F60" s="163" t="n">
        <v>53</v>
      </c>
      <c r="G60" s="26" t="inlineStr">
        <is>
          <t>92149451920</t>
        </is>
      </c>
      <c r="H60" s="27" t="inlineStr">
        <is>
          <t>NY</t>
        </is>
      </c>
      <c r="I60" s="169" t="inlineStr">
        <is>
          <t>ヤマト</t>
        </is>
      </c>
      <c r="J60" s="169" t="inlineStr">
        <is>
          <t>O30277</t>
        </is>
      </c>
      <c r="K60" s="36" t="inlineStr">
        <is>
          <t>4-Nov</t>
        </is>
      </c>
      <c r="L60" s="198" t="n">
        <v>735</v>
      </c>
      <c r="M60" s="33" t="inlineStr">
        <is>
          <t>11/4</t>
        </is>
      </c>
      <c r="N60" s="32" t="n">
        <v>0.5486111111111112</v>
      </c>
      <c r="O60" s="33" t="n"/>
      <c r="P60" s="23" t="n"/>
      <c r="Q60" s="23" t="n">
        <v>129</v>
      </c>
      <c r="R60" s="23" t="n"/>
      <c r="S60" s="23" t="n"/>
      <c r="T60" s="23" t="n"/>
      <c r="U60" s="23" t="n"/>
      <c r="V60" s="23" t="n"/>
      <c r="W60" s="34" t="inlineStr">
        <is>
          <t>緊急依頼済み</t>
        </is>
      </c>
    </row>
    <row r="61" ht="42.75" customFormat="1" customHeight="1" s="35">
      <c r="A61" s="23" t="n"/>
      <c r="B61" s="23" t="n"/>
      <c r="C61" s="23" t="n"/>
      <c r="D61" s="23" t="n"/>
      <c r="E61" s="24" t="n"/>
      <c r="F61" s="163" t="n">
        <v>54</v>
      </c>
      <c r="G61" s="26" t="inlineStr">
        <is>
          <t>92149451916</t>
        </is>
      </c>
      <c r="H61" s="27" t="inlineStr">
        <is>
          <t>NY</t>
        </is>
      </c>
      <c r="I61" s="169" t="inlineStr">
        <is>
          <t>ヤマト</t>
        </is>
      </c>
      <c r="J61" s="169" t="inlineStr">
        <is>
          <t>O30277</t>
        </is>
      </c>
      <c r="K61" s="36" t="inlineStr">
        <is>
          <t>4-Nov</t>
        </is>
      </c>
      <c r="L61" s="198" t="n">
        <v>2262</v>
      </c>
      <c r="M61" s="33" t="inlineStr">
        <is>
          <t>11/4</t>
        </is>
      </c>
      <c r="N61" s="32" t="n">
        <v>0.5486111111111112</v>
      </c>
      <c r="O61" s="33" t="n"/>
      <c r="P61" s="23" t="n"/>
      <c r="Q61" s="23" t="n">
        <v>26</v>
      </c>
      <c r="R61" s="23" t="n"/>
      <c r="S61" s="23" t="n"/>
      <c r="T61" s="23" t="n"/>
      <c r="U61" s="23" t="n"/>
      <c r="V61" s="23" t="n"/>
      <c r="W61" s="34" t="inlineStr">
        <is>
          <t>緊急依頼済み</t>
        </is>
      </c>
    </row>
    <row r="62" ht="42.75" customFormat="1" customHeight="1" s="52">
      <c r="A62" s="41" t="n"/>
      <c r="B62" s="41" t="n"/>
      <c r="C62" s="41" t="n"/>
      <c r="D62" s="41" t="n"/>
      <c r="E62" s="42" t="n"/>
      <c r="F62" s="171" t="n">
        <v>55</v>
      </c>
      <c r="G62" s="44" t="inlineStr">
        <is>
          <t>87711331504</t>
        </is>
      </c>
      <c r="H62" s="45" t="inlineStr">
        <is>
          <t>CAINIAO-E</t>
        </is>
      </c>
      <c r="I62" s="177" t="inlineStr">
        <is>
          <t>ヤマト</t>
        </is>
      </c>
      <c r="J62" s="177" t="inlineStr">
        <is>
          <t>HT3867</t>
        </is>
      </c>
      <c r="K62" s="47" t="inlineStr">
        <is>
          <t>4-Nov</t>
        </is>
      </c>
      <c r="L62" s="205" t="n">
        <v>1150</v>
      </c>
      <c r="M62" s="49" t="inlineStr">
        <is>
          <t>11/4</t>
        </is>
      </c>
      <c r="N62" s="50" t="n">
        <v>0.2402777777777778</v>
      </c>
      <c r="O62" s="49" t="n"/>
      <c r="P62" s="41" t="n"/>
      <c r="Q62" s="41" t="n"/>
      <c r="R62" s="41" t="n"/>
      <c r="S62" s="41" t="n"/>
      <c r="T62" s="41" t="n"/>
      <c r="U62" s="41" t="n"/>
      <c r="V62" s="41" t="n"/>
      <c r="W62" s="51" t="n"/>
    </row>
    <row r="63" ht="42.75" customFormat="1" customHeight="1" s="52">
      <c r="A63" s="41" t="n"/>
      <c r="B63" s="41" t="n"/>
      <c r="C63" s="41" t="n"/>
      <c r="D63" s="41" t="n"/>
      <c r="E63" s="42" t="n"/>
      <c r="F63" s="171" t="n">
        <v>56</v>
      </c>
      <c r="G63" s="44" t="inlineStr">
        <is>
          <t>87643326426</t>
        </is>
      </c>
      <c r="H63" s="45" t="inlineStr">
        <is>
          <t>CAINIAO-E</t>
        </is>
      </c>
      <c r="I63" s="177" t="inlineStr">
        <is>
          <t>ヤマト</t>
        </is>
      </c>
      <c r="J63" s="177" t="inlineStr">
        <is>
          <t>3U9371</t>
        </is>
      </c>
      <c r="K63" s="47" t="inlineStr">
        <is>
          <t>4-Nov</t>
        </is>
      </c>
      <c r="L63" s="205" t="n">
        <v>902</v>
      </c>
      <c r="M63" s="49" t="inlineStr">
        <is>
          <t>11/4</t>
        </is>
      </c>
      <c r="N63" s="50" t="n">
        <v>0.84375</v>
      </c>
      <c r="O63" s="49" t="inlineStr">
        <is>
          <t>11/5</t>
        </is>
      </c>
      <c r="P63" s="53" t="n">
        <v>0.3340277777777778</v>
      </c>
      <c r="Q63" s="41" t="n">
        <v>28</v>
      </c>
      <c r="R63" s="41" t="n"/>
      <c r="S63" s="41" t="n"/>
      <c r="T63" s="41" t="n"/>
      <c r="U63" s="41" t="n"/>
      <c r="V63" s="41" t="n"/>
      <c r="W63" s="51" t="n"/>
    </row>
    <row r="64" ht="42.75" customFormat="1" customHeight="1" s="35">
      <c r="A64" s="23" t="n"/>
      <c r="B64" s="23" t="n"/>
      <c r="C64" s="23" t="n"/>
      <c r="D64" s="23" t="n"/>
      <c r="E64" s="24" t="n"/>
      <c r="F64" s="163" t="n">
        <v>57</v>
      </c>
      <c r="G64" s="26" t="inlineStr">
        <is>
          <t>80422292325</t>
        </is>
      </c>
      <c r="H64" s="27" t="inlineStr">
        <is>
          <t>YNE</t>
        </is>
      </c>
      <c r="I64" s="169" t="inlineStr">
        <is>
          <t>ヤマト / ネコポス / 佐川（507）</t>
        </is>
      </c>
      <c r="J64" s="169" t="inlineStr">
        <is>
          <t>CF0215</t>
        </is>
      </c>
      <c r="K64" s="36" t="inlineStr">
        <is>
          <t>4-Nov</t>
        </is>
      </c>
      <c r="L64" s="198" t="n">
        <v>2519</v>
      </c>
      <c r="M64" s="33" t="inlineStr">
        <is>
          <t>11/4</t>
        </is>
      </c>
      <c r="N64" s="32" t="n">
        <v>0.5069444444444444</v>
      </c>
      <c r="O64" s="33" t="inlineStr">
        <is>
          <t>11/4</t>
        </is>
      </c>
      <c r="P64" s="37" t="n">
        <v>0.7152777777777778</v>
      </c>
      <c r="Q64" s="23" t="n">
        <v>106</v>
      </c>
      <c r="R64" s="23" t="n"/>
      <c r="S64" s="23" t="n"/>
      <c r="T64" s="23" t="n"/>
      <c r="U64" s="23" t="n"/>
      <c r="V64" s="23" t="n"/>
      <c r="W64" s="34" t="inlineStr">
        <is>
          <t>緊急依頼済み/佐川出荷止め</t>
        </is>
      </c>
    </row>
    <row r="65" ht="42.75" customFormat="1" customHeight="1" s="35">
      <c r="A65" s="23" t="n"/>
      <c r="B65" s="23" t="n"/>
      <c r="C65" s="23" t="n"/>
      <c r="D65" s="23" t="n"/>
      <c r="E65" s="24" t="n"/>
      <c r="F65" s="163" t="n">
        <v>58</v>
      </c>
      <c r="G65" s="26" t="inlineStr">
        <is>
          <t>20532604084</t>
        </is>
      </c>
      <c r="H65" s="27" t="inlineStr">
        <is>
          <t>LDX</t>
        </is>
      </c>
      <c r="I65" s="169" t="inlineStr">
        <is>
          <t>ヤマト / ネコポス</t>
        </is>
      </c>
      <c r="J65" s="169" t="inlineStr">
        <is>
          <t>NH0970</t>
        </is>
      </c>
      <c r="K65" s="36" t="inlineStr">
        <is>
          <t>4-Nov</t>
        </is>
      </c>
      <c r="L65" s="198" t="n">
        <v>375</v>
      </c>
      <c r="M65" s="33" t="inlineStr">
        <is>
          <t>11/4</t>
        </is>
      </c>
      <c r="N65" s="32" t="n">
        <v>0.7256944444444444</v>
      </c>
      <c r="O65" s="33" t="inlineStr">
        <is>
          <t>11/4</t>
        </is>
      </c>
      <c r="P65" s="37" t="n">
        <v>0.8402777777777778</v>
      </c>
      <c r="Q65" s="23" t="n">
        <v>13</v>
      </c>
      <c r="R65" s="23" t="n"/>
      <c r="S65" s="23" t="n"/>
      <c r="T65" s="23" t="n"/>
      <c r="U65" s="23" t="n"/>
      <c r="V65" s="23" t="n"/>
      <c r="W65" s="34" t="inlineStr">
        <is>
          <t>HND経由</t>
        </is>
      </c>
    </row>
    <row r="66" ht="42.75" customFormat="1" customHeight="1" s="35">
      <c r="A66" s="23" t="n"/>
      <c r="B66" s="23" t="n"/>
      <c r="C66" s="23" t="n"/>
      <c r="D66" s="23" t="n"/>
      <c r="E66" s="24" t="n"/>
      <c r="F66" s="163" t="n">
        <v>59</v>
      </c>
      <c r="G66" s="26" t="inlineStr">
        <is>
          <t>99937722823</t>
        </is>
      </c>
      <c r="H66" s="27" t="inlineStr">
        <is>
          <t>YNE</t>
        </is>
      </c>
      <c r="I66" s="169" t="inlineStr">
        <is>
          <t>ヤマト</t>
        </is>
      </c>
      <c r="J66" s="169" t="inlineStr">
        <is>
          <t>CA0163</t>
        </is>
      </c>
      <c r="K66" s="36" t="inlineStr">
        <is>
          <t>4-Nov</t>
        </is>
      </c>
      <c r="L66" s="198" t="n">
        <v>717</v>
      </c>
      <c r="M66" s="33" t="inlineStr">
        <is>
          <t>11/4</t>
        </is>
      </c>
      <c r="N66" s="32" t="n">
        <v>0.8645833333333334</v>
      </c>
      <c r="O66" s="33" t="inlineStr">
        <is>
          <t>11/4</t>
        </is>
      </c>
      <c r="P66" s="37" t="n">
        <v>0.9597222222222223</v>
      </c>
      <c r="Q66" s="23" t="n">
        <v>25</v>
      </c>
      <c r="R66" s="23" t="n"/>
      <c r="S66" s="23" t="n"/>
      <c r="T66" s="23" t="n"/>
      <c r="U66" s="23" t="n"/>
      <c r="V66" s="23" t="n"/>
      <c r="W66" s="34" t="n"/>
    </row>
    <row r="67" ht="42.75" customFormat="1" customHeight="1" s="35">
      <c r="A67" s="23" t="n"/>
      <c r="B67" s="23" t="n"/>
      <c r="C67" s="23" t="n"/>
      <c r="D67" s="23" t="n"/>
      <c r="E67" s="24" t="n"/>
      <c r="F67" s="163" t="n">
        <v>60</v>
      </c>
      <c r="G67" s="26" t="inlineStr">
        <is>
          <t>11239488956</t>
        </is>
      </c>
      <c r="H67" s="27" t="inlineStr">
        <is>
          <t>YNE</t>
        </is>
      </c>
      <c r="I67" s="169" t="inlineStr">
        <is>
          <t>ヤマト</t>
        </is>
      </c>
      <c r="J67" s="169" t="inlineStr">
        <is>
          <t>MU2575</t>
        </is>
      </c>
      <c r="K67" s="36" t="inlineStr">
        <is>
          <t>5-Nov</t>
        </is>
      </c>
      <c r="L67" s="198" t="n">
        <v>422</v>
      </c>
      <c r="M67" s="33" t="inlineStr">
        <is>
          <t>11/5</t>
        </is>
      </c>
      <c r="N67" s="32" t="n">
        <v>0.5381944444444444</v>
      </c>
      <c r="O67" s="33" t="n"/>
      <c r="P67" s="23" t="n"/>
      <c r="Q67" s="23" t="n"/>
      <c r="R67" s="23" t="n"/>
      <c r="S67" s="23" t="n"/>
      <c r="T67" s="23" t="n"/>
      <c r="U67" s="23" t="n"/>
      <c r="V67" s="23" t="n"/>
      <c r="W67" s="34" t="inlineStr">
        <is>
          <t>緊急依頼済み</t>
        </is>
      </c>
    </row>
    <row r="68" ht="42.75" customFormat="1" customHeight="1" s="35">
      <c r="A68" s="23" t="n"/>
      <c r="B68" s="23" t="n"/>
      <c r="C68" s="23" t="n"/>
      <c r="D68" s="23" t="n"/>
      <c r="E68" s="24" t="n"/>
      <c r="F68" s="163" t="n">
        <v>62</v>
      </c>
      <c r="G68" s="26" t="inlineStr">
        <is>
          <t>16002216373</t>
        </is>
      </c>
      <c r="H68" s="27" t="inlineStr">
        <is>
          <t>YTO</t>
        </is>
      </c>
      <c r="I68" s="169" t="inlineStr">
        <is>
          <t>佐川</t>
        </is>
      </c>
      <c r="J68" s="169" t="inlineStr">
        <is>
          <t>CX0036</t>
        </is>
      </c>
      <c r="K68" s="36" t="inlineStr">
        <is>
          <t>4-Nov</t>
        </is>
      </c>
      <c r="L68" s="198" t="n">
        <v>416</v>
      </c>
      <c r="M68" s="33" t="inlineStr">
        <is>
          <t>11/4</t>
        </is>
      </c>
      <c r="N68" s="32" t="n">
        <v>0.6805555555555556</v>
      </c>
      <c r="O68" s="33" t="n"/>
      <c r="P68" s="23" t="n"/>
      <c r="Q68" s="23" t="n">
        <v>89</v>
      </c>
      <c r="R68" s="23" t="n"/>
      <c r="S68" s="23" t="n"/>
      <c r="T68" s="23" t="n"/>
      <c r="U68" s="23" t="n"/>
      <c r="V68" s="23" t="n"/>
      <c r="W68" s="34" t="inlineStr">
        <is>
          <t>佐川あり</t>
        </is>
      </c>
    </row>
    <row r="69" ht="42.75" customFormat="1" customHeight="1" s="35">
      <c r="A69" s="23" t="n"/>
      <c r="B69" s="23" t="n"/>
      <c r="C69" s="23" t="n"/>
      <c r="D69" s="23" t="n"/>
      <c r="E69" s="24" t="n"/>
      <c r="F69" s="163" t="n">
        <v>63</v>
      </c>
      <c r="G69" s="26" t="inlineStr">
        <is>
          <t>92149451905</t>
        </is>
      </c>
      <c r="H69" s="27" t="inlineStr">
        <is>
          <t>NY</t>
        </is>
      </c>
      <c r="I69" s="169" t="inlineStr">
        <is>
          <t>ヤマト</t>
        </is>
      </c>
      <c r="J69" s="169" t="inlineStr">
        <is>
          <t>O30277</t>
        </is>
      </c>
      <c r="K69" s="36" t="inlineStr">
        <is>
          <t>4-Nov</t>
        </is>
      </c>
      <c r="L69" s="93" t="n">
        <v>278</v>
      </c>
      <c r="M69" s="33" t="inlineStr">
        <is>
          <t>11/4</t>
        </is>
      </c>
      <c r="N69" s="32" t="n">
        <v>0.5416666666666666</v>
      </c>
      <c r="O69" s="33" t="n"/>
      <c r="P69" s="23" t="n"/>
      <c r="Q69" s="23" t="n">
        <v>14</v>
      </c>
      <c r="R69" s="23" t="n"/>
      <c r="S69" s="23" t="n"/>
      <c r="T69" s="23" t="n"/>
      <c r="U69" s="23" t="n"/>
      <c r="V69" s="23" t="n"/>
      <c r="W69" s="34" t="n"/>
    </row>
    <row r="70" ht="42.75" customFormat="1" customHeight="1" s="35">
      <c r="A70" s="23" t="n"/>
      <c r="B70" s="23" t="n"/>
      <c r="C70" s="23" t="n"/>
      <c r="D70" s="23" t="n"/>
      <c r="E70" s="24" t="n"/>
      <c r="F70" s="163" t="n">
        <v>64</v>
      </c>
      <c r="G70" s="26" t="inlineStr">
        <is>
          <t>92149451931</t>
        </is>
      </c>
      <c r="H70" s="27" t="inlineStr">
        <is>
          <t>NY</t>
        </is>
      </c>
      <c r="I70" s="169" t="inlineStr">
        <is>
          <t>ヤマト / ネコポス</t>
        </is>
      </c>
      <c r="J70" s="169" t="inlineStr">
        <is>
          <t>O30277</t>
        </is>
      </c>
      <c r="K70" s="36" t="inlineStr">
        <is>
          <t>4-Nov</t>
        </is>
      </c>
      <c r="L70" s="93" t="n">
        <v>2082</v>
      </c>
      <c r="M70" s="33" t="inlineStr">
        <is>
          <t>11/4</t>
        </is>
      </c>
      <c r="N70" s="32" t="n">
        <v>0.5416666666666666</v>
      </c>
      <c r="O70" s="33" t="n"/>
      <c r="P70" s="23" t="n"/>
      <c r="Q70" s="23" t="n">
        <v>193</v>
      </c>
      <c r="R70" s="23" t="n"/>
      <c r="S70" s="23" t="n"/>
      <c r="T70" s="23" t="n"/>
      <c r="U70" s="23" t="n"/>
      <c r="V70" s="23" t="n"/>
      <c r="W70" s="34" t="n"/>
    </row>
    <row r="71" ht="42.75" customFormat="1" customHeight="1" s="35">
      <c r="A71" s="23" t="n"/>
      <c r="B71" s="23" t="n"/>
      <c r="C71" s="23" t="n"/>
      <c r="D71" s="23" t="n"/>
      <c r="E71" s="24" t="inlineStr">
        <is>
          <t>S</t>
        </is>
      </c>
      <c r="F71" s="23" t="n">
        <v>65</v>
      </c>
      <c r="G71" s="199" t="inlineStr">
        <is>
          <t>16002215452</t>
        </is>
      </c>
      <c r="H71" s="200" t="inlineStr">
        <is>
          <t>YTO</t>
        </is>
      </c>
      <c r="I71" s="40" t="inlineStr">
        <is>
          <t>佐川</t>
        </is>
      </c>
      <c r="J71" s="36" t="inlineStr">
        <is>
          <t>CX0566</t>
        </is>
      </c>
      <c r="K71" s="40" t="inlineStr">
        <is>
          <t>4-Nov</t>
        </is>
      </c>
      <c r="L71" s="201" t="n">
        <v>117</v>
      </c>
      <c r="M71" s="33" t="inlineStr">
        <is>
          <t>11/4</t>
        </is>
      </c>
      <c r="N71" s="32" t="n">
        <v>0.2618055555555556</v>
      </c>
      <c r="O71" s="33" t="inlineStr">
        <is>
          <t>11/4</t>
        </is>
      </c>
      <c r="P71" s="37" t="n">
        <v>0.3590277777777778</v>
      </c>
      <c r="Q71" s="23" t="inlineStr">
        <is>
          <t>22 / 37</t>
        </is>
      </c>
      <c r="R71" s="23" t="n"/>
      <c r="S71" s="23" t="inlineStr">
        <is>
          <t>✓</t>
        </is>
      </c>
      <c r="T71" s="23" t="inlineStr">
        <is>
          <t>✓</t>
        </is>
      </c>
      <c r="U71" s="23" t="inlineStr">
        <is>
          <t>✓</t>
        </is>
      </c>
      <c r="V71" s="23" t="inlineStr">
        <is>
          <t>✓</t>
        </is>
      </c>
      <c r="W71" s="34" t="inlineStr">
        <is>
          <t>佐川あり</t>
        </is>
      </c>
    </row>
    <row r="72" ht="42.75" customFormat="1" customHeight="1" s="35">
      <c r="A72" s="23" t="n"/>
      <c r="B72" s="23" t="n"/>
      <c r="C72" s="23" t="n"/>
      <c r="D72" s="23" t="n"/>
      <c r="E72" s="24" t="n"/>
      <c r="F72" s="202" t="n"/>
      <c r="G72" s="203" t="n"/>
      <c r="H72" s="204" t="n"/>
      <c r="I72" s="202" t="n"/>
      <c r="J72" s="36" t="inlineStr">
        <is>
          <t>LD0204</t>
        </is>
      </c>
      <c r="K72" s="40" t="inlineStr">
        <is>
          <t>4-Nov</t>
        </is>
      </c>
      <c r="L72" s="198" t="n">
        <v>38</v>
      </c>
      <c r="M72" s="33" t="inlineStr">
        <is>
          <t>11/4</t>
        </is>
      </c>
      <c r="N72" s="32" t="n">
        <v>0.3291666666666667</v>
      </c>
      <c r="O72" s="33" t="n"/>
      <c r="P72" s="37" t="n"/>
      <c r="Q72" s="23" t="n">
        <v>15</v>
      </c>
      <c r="R72" s="23" t="n"/>
      <c r="S72" s="23" t="n"/>
      <c r="T72" s="23" t="n"/>
      <c r="U72" s="23" t="n"/>
      <c r="V72" s="23" t="n"/>
      <c r="W72" s="34" t="n"/>
    </row>
    <row r="73" ht="42.75" customFormat="1" customHeight="1" s="95">
      <c r="A73" s="54" t="n"/>
      <c r="B73" s="54" t="n"/>
      <c r="C73" s="54" t="n"/>
      <c r="D73" s="54" t="n"/>
      <c r="E73" s="55" t="n"/>
      <c r="F73" s="56" t="n">
        <v>66</v>
      </c>
      <c r="G73" s="57" t="inlineStr">
        <is>
          <t>29771199483</t>
        </is>
      </c>
      <c r="H73" s="58" t="inlineStr">
        <is>
          <t>TEMU</t>
        </is>
      </c>
      <c r="I73" s="59" t="inlineStr">
        <is>
          <t>エスポ便</t>
        </is>
      </c>
      <c r="J73" s="60" t="inlineStr">
        <is>
          <t>CI5836</t>
        </is>
      </c>
      <c r="K73" s="94" t="inlineStr">
        <is>
          <t>5-Nov</t>
        </is>
      </c>
      <c r="L73" s="207" t="n">
        <v>545</v>
      </c>
      <c r="M73" s="62" t="inlineStr">
        <is>
          <t>11/5</t>
        </is>
      </c>
      <c r="N73" s="63" t="n">
        <v>0.5347222222222222</v>
      </c>
      <c r="O73" s="62" t="n"/>
      <c r="P73" s="54" t="n"/>
      <c r="Q73" s="54" t="n"/>
      <c r="R73" s="54" t="n"/>
      <c r="S73" s="54" t="n"/>
      <c r="T73" s="54" t="n"/>
      <c r="U73" s="54" t="n"/>
      <c r="V73" s="54" t="n"/>
      <c r="W73" s="65" t="n"/>
    </row>
    <row r="74" ht="42.75" customFormat="1" customHeight="1" s="35">
      <c r="A74" s="23" t="n"/>
      <c r="B74" s="23" t="n"/>
      <c r="C74" s="23" t="n"/>
      <c r="D74" s="23" t="n"/>
      <c r="E74" s="24" t="n"/>
      <c r="F74" s="163" t="n">
        <v>67</v>
      </c>
      <c r="G74" s="26" t="inlineStr">
        <is>
          <t>92149451894</t>
        </is>
      </c>
      <c r="H74" s="27" t="inlineStr">
        <is>
          <t>NY</t>
        </is>
      </c>
      <c r="I74" s="169" t="inlineStr">
        <is>
          <t>ヤマト / ネコポス</t>
        </is>
      </c>
      <c r="J74" s="36" t="inlineStr">
        <is>
          <t>O30277</t>
        </is>
      </c>
      <c r="K74" s="40" t="inlineStr">
        <is>
          <t>4-Nov</t>
        </is>
      </c>
      <c r="L74" s="198" t="n">
        <v>1334</v>
      </c>
      <c r="M74" s="33" t="inlineStr">
        <is>
          <t>11/4</t>
        </is>
      </c>
      <c r="N74" s="32" t="n">
        <v>0.5534722222222223</v>
      </c>
      <c r="O74" s="33" t="n"/>
      <c r="P74" s="23" t="n"/>
      <c r="Q74" s="23" t="n">
        <v>71</v>
      </c>
      <c r="R74" s="23" t="n"/>
      <c r="S74" s="23" t="n"/>
      <c r="T74" s="23" t="n"/>
      <c r="U74" s="23" t="n"/>
      <c r="V74" s="23" t="n"/>
      <c r="W74" s="34" t="n"/>
    </row>
    <row r="75" ht="42.75" customFormat="1" customHeight="1" s="52">
      <c r="A75" s="41" t="n"/>
      <c r="B75" s="41" t="n"/>
      <c r="C75" s="41" t="n"/>
      <c r="D75" s="41" t="n"/>
      <c r="E75" s="42" t="n"/>
      <c r="F75" s="171" t="n">
        <v>69</v>
      </c>
      <c r="G75" s="44" t="inlineStr">
        <is>
          <t>78481941974</t>
        </is>
      </c>
      <c r="H75" s="45" t="inlineStr">
        <is>
          <t>CAINIAO-E</t>
        </is>
      </c>
      <c r="I75" s="177" t="inlineStr">
        <is>
          <t>ヤマト</t>
        </is>
      </c>
      <c r="J75" s="47" t="inlineStr">
        <is>
          <t>CZ0389</t>
        </is>
      </c>
      <c r="K75" s="96" t="inlineStr">
        <is>
          <t>5-Nov</t>
        </is>
      </c>
      <c r="L75" s="205" t="n">
        <v>1006</v>
      </c>
      <c r="M75" s="49" t="inlineStr">
        <is>
          <t>11/5</t>
        </is>
      </c>
      <c r="N75" s="50" t="n">
        <v>0.5416666666666666</v>
      </c>
      <c r="O75" s="49" t="n"/>
      <c r="P75" s="41" t="n"/>
      <c r="Q75" s="41" t="n"/>
      <c r="R75" s="41" t="n"/>
      <c r="S75" s="41" t="n"/>
      <c r="T75" s="41" t="n"/>
      <c r="U75" s="41" t="n"/>
      <c r="V75" s="41" t="n"/>
      <c r="W75" s="51" t="n"/>
    </row>
    <row r="76" ht="42.75" customFormat="1" customHeight="1" s="35">
      <c r="A76" s="23" t="n"/>
      <c r="B76" s="23" t="n"/>
      <c r="C76" s="23" t="n"/>
      <c r="D76" s="23" t="n"/>
      <c r="E76" s="24" t="n"/>
      <c r="F76" s="163" t="n">
        <v>70</v>
      </c>
      <c r="G76" s="26" t="inlineStr">
        <is>
          <t>02399242474</t>
        </is>
      </c>
      <c r="H76" s="27" t="inlineStr">
        <is>
          <t>LDX</t>
        </is>
      </c>
      <c r="I76" s="169" t="inlineStr">
        <is>
          <t>ヤマト / ネコポス</t>
        </is>
      </c>
      <c r="J76" s="36" t="inlineStr">
        <is>
          <t>FX5262</t>
        </is>
      </c>
      <c r="K76" s="40" t="inlineStr">
        <is>
          <t>4-Nov</t>
        </is>
      </c>
      <c r="L76" s="198" t="n">
        <v>745</v>
      </c>
      <c r="M76" s="33" t="inlineStr">
        <is>
          <t>11/4</t>
        </is>
      </c>
      <c r="N76" s="32" t="n">
        <v>0.9743055555555555</v>
      </c>
      <c r="O76" s="33" t="n"/>
      <c r="P76" s="23" t="n"/>
      <c r="Q76" s="23" t="n">
        <v>104</v>
      </c>
      <c r="R76" s="23" t="n"/>
      <c r="S76" s="23" t="n"/>
      <c r="T76" s="23" t="n"/>
      <c r="U76" s="23" t="n"/>
      <c r="V76" s="23" t="n"/>
      <c r="W76" s="34" t="n"/>
    </row>
    <row r="77" ht="42.75" customFormat="1" customHeight="1" s="35">
      <c r="A77" s="23" t="n"/>
      <c r="B77" s="23" t="n"/>
      <c r="C77" s="23" t="n"/>
      <c r="D77" s="23" t="n"/>
      <c r="E77" s="24" t="n"/>
      <c r="F77" s="163" t="n">
        <v>71</v>
      </c>
      <c r="G77" s="26" t="inlineStr">
        <is>
          <t>18043443960</t>
        </is>
      </c>
      <c r="H77" s="27" t="inlineStr">
        <is>
          <t>LDX</t>
        </is>
      </c>
      <c r="I77" s="169" t="inlineStr">
        <is>
          <t>ヤマト</t>
        </is>
      </c>
      <c r="J77" s="36" t="inlineStr">
        <is>
          <t>KE0723</t>
        </is>
      </c>
      <c r="K77" s="40" t="inlineStr">
        <is>
          <t>5-Nov</t>
        </is>
      </c>
      <c r="L77" s="198" t="n">
        <v>30</v>
      </c>
      <c r="M77" s="33" t="inlineStr">
        <is>
          <t>11/5</t>
        </is>
      </c>
      <c r="N77" s="32" t="n">
        <v>0.46875</v>
      </c>
      <c r="O77" s="33" t="n"/>
      <c r="P77" s="23" t="n"/>
      <c r="Q77" s="23" t="n"/>
      <c r="R77" s="23" t="n"/>
      <c r="S77" s="23" t="n"/>
      <c r="T77" s="23" t="n"/>
      <c r="U77" s="23" t="n"/>
      <c r="V77" s="23" t="n"/>
      <c r="W77" s="34" t="n"/>
    </row>
    <row r="78" ht="42.75" customFormat="1" customHeight="1" s="35">
      <c r="A78" s="23" t="n"/>
      <c r="B78" s="23" t="n"/>
      <c r="C78" s="23" t="n"/>
      <c r="D78" s="23" t="n"/>
      <c r="E78" s="24" t="n"/>
      <c r="F78" s="163" t="n">
        <v>72</v>
      </c>
      <c r="G78" s="26" t="inlineStr">
        <is>
          <t>99433460136</t>
        </is>
      </c>
      <c r="H78" s="27" t="inlineStr">
        <is>
          <t>LDX</t>
        </is>
      </c>
      <c r="I78" s="169" t="inlineStr">
        <is>
          <t>ヤマト</t>
        </is>
      </c>
      <c r="J78" s="36" t="inlineStr">
        <is>
          <t>KJ0232</t>
        </is>
      </c>
      <c r="K78" s="40" t="inlineStr">
        <is>
          <t>4-Nov</t>
        </is>
      </c>
      <c r="L78" s="198" t="n">
        <v>201</v>
      </c>
      <c r="M78" s="33" t="inlineStr">
        <is>
          <t>11/4</t>
        </is>
      </c>
      <c r="N78" s="32" t="n">
        <v>0.7916666666666666</v>
      </c>
      <c r="O78" s="33" t="n"/>
      <c r="P78" s="23" t="n"/>
      <c r="Q78" s="23" t="n">
        <v>75</v>
      </c>
      <c r="R78" s="23" t="n"/>
      <c r="S78" s="23" t="n"/>
      <c r="T78" s="23" t="n"/>
      <c r="U78" s="23" t="n"/>
      <c r="V78" s="23" t="n"/>
      <c r="W78" s="34" t="n"/>
    </row>
    <row r="79" ht="42.75" customFormat="1" customHeight="1" s="35">
      <c r="A79" s="23" t="n"/>
      <c r="B79" s="23" t="n"/>
      <c r="C79" s="23" t="n"/>
      <c r="D79" s="23" t="n"/>
      <c r="E79" s="24" t="n"/>
      <c r="F79" s="163" t="n">
        <v>73</v>
      </c>
      <c r="G79" s="26" t="inlineStr">
        <is>
          <t>73198537342</t>
        </is>
      </c>
      <c r="H79" s="27" t="inlineStr">
        <is>
          <t>NY</t>
        </is>
      </c>
      <c r="I79" s="169" t="inlineStr">
        <is>
          <t>ヤマト / ネコポス</t>
        </is>
      </c>
      <c r="J79" s="36" t="inlineStr">
        <is>
          <t>MF0839</t>
        </is>
      </c>
      <c r="K79" s="40" t="inlineStr">
        <is>
          <t>4-Nov</t>
        </is>
      </c>
      <c r="L79" s="198" t="n">
        <v>1501</v>
      </c>
      <c r="M79" s="33" t="inlineStr">
        <is>
          <t>11/4</t>
        </is>
      </c>
      <c r="N79" s="32" t="n">
        <v>0.7395833333333334</v>
      </c>
      <c r="O79" s="33" t="n"/>
      <c r="P79" s="23" t="n"/>
      <c r="Q79" s="23" t="n"/>
      <c r="R79" s="23" t="n"/>
      <c r="S79" s="23" t="n"/>
      <c r="T79" s="23" t="n"/>
      <c r="U79" s="23" t="n"/>
      <c r="V79" s="23" t="n"/>
      <c r="W79" s="34" t="n"/>
    </row>
    <row r="80" ht="42.75" customFormat="1" customHeight="1" s="35">
      <c r="A80" s="23" t="n"/>
      <c r="B80" s="23" t="n"/>
      <c r="C80" s="23" t="n"/>
      <c r="D80" s="23" t="n"/>
      <c r="E80" s="24" t="n"/>
      <c r="F80" s="163" t="n">
        <v>74</v>
      </c>
      <c r="G80" s="26" t="inlineStr">
        <is>
          <t>73198513262</t>
        </is>
      </c>
      <c r="H80" s="27" t="inlineStr">
        <is>
          <t>YTO</t>
        </is>
      </c>
      <c r="I80" s="169" t="inlineStr">
        <is>
          <t>ヤマト / ネコポス / 佐川（511）</t>
        </is>
      </c>
      <c r="J80" s="36" t="inlineStr">
        <is>
          <t>MF0835</t>
        </is>
      </c>
      <c r="K80" s="40" t="inlineStr">
        <is>
          <t>5-Nov</t>
        </is>
      </c>
      <c r="L80" s="198" t="n">
        <v>1560</v>
      </c>
      <c r="M80" s="33" t="inlineStr">
        <is>
          <t>11/5</t>
        </is>
      </c>
      <c r="N80" s="32" t="n">
        <v>0.5034722222222222</v>
      </c>
      <c r="O80" s="33" t="n"/>
      <c r="P80" s="23" t="n"/>
      <c r="Q80" s="23" t="n"/>
      <c r="R80" s="23" t="n"/>
      <c r="S80" s="23" t="n"/>
      <c r="T80" s="23" t="n"/>
      <c r="U80" s="23" t="n"/>
      <c r="V80" s="23" t="n"/>
      <c r="W80" s="34" t="inlineStr">
        <is>
          <t>佐川あり</t>
        </is>
      </c>
    </row>
    <row r="81" ht="42.75" customFormat="1" customHeight="1" s="35">
      <c r="A81" s="23" t="n"/>
      <c r="B81" s="23" t="n"/>
      <c r="C81" s="23" t="n"/>
      <c r="D81" s="23" t="n"/>
      <c r="E81" s="24" t="n"/>
      <c r="F81" s="163" t="n">
        <v>76</v>
      </c>
      <c r="G81" s="26" t="inlineStr">
        <is>
          <t>18043444446</t>
        </is>
      </c>
      <c r="H81" s="27" t="inlineStr">
        <is>
          <t>NY</t>
        </is>
      </c>
      <c r="I81" s="169" t="inlineStr">
        <is>
          <t>ヤマト</t>
        </is>
      </c>
      <c r="J81" s="36" t="inlineStr">
        <is>
          <t>KE0723</t>
        </is>
      </c>
      <c r="K81" s="40" t="inlineStr">
        <is>
          <t>5-Nov</t>
        </is>
      </c>
      <c r="L81" s="198" t="n">
        <v>340</v>
      </c>
      <c r="M81" s="33" t="inlineStr">
        <is>
          <t>11/5</t>
        </is>
      </c>
      <c r="N81" s="32" t="n">
        <v>0.46875</v>
      </c>
      <c r="O81" s="33" t="n"/>
      <c r="P81" s="23" t="n"/>
      <c r="Q81" s="23" t="n"/>
      <c r="R81" s="23" t="n"/>
      <c r="S81" s="23" t="n"/>
      <c r="T81" s="23" t="n"/>
      <c r="U81" s="23" t="n"/>
      <c r="V81" s="23" t="n"/>
      <c r="W81" s="34" t="n"/>
    </row>
    <row r="82" ht="42.75" customFormat="1" customHeight="1" s="52">
      <c r="A82" s="41" t="n"/>
      <c r="B82" s="41" t="n"/>
      <c r="C82" s="41" t="n"/>
      <c r="D82" s="41" t="n"/>
      <c r="E82" s="42" t="n"/>
      <c r="F82" s="171" t="n">
        <v>77</v>
      </c>
      <c r="G82" s="44" t="inlineStr">
        <is>
          <t>78481571630</t>
        </is>
      </c>
      <c r="H82" s="45" t="inlineStr">
        <is>
          <t>CAINIAO-E</t>
        </is>
      </c>
      <c r="I82" s="177" t="inlineStr">
        <is>
          <t>ヤマト</t>
        </is>
      </c>
      <c r="J82" s="47" t="inlineStr">
        <is>
          <t>CZ0389</t>
        </is>
      </c>
      <c r="K82" s="96" t="inlineStr">
        <is>
          <t>5-Nov</t>
        </is>
      </c>
      <c r="L82" s="205" t="n">
        <v>1408</v>
      </c>
      <c r="M82" s="49" t="inlineStr">
        <is>
          <t>11/5</t>
        </is>
      </c>
      <c r="N82" s="50" t="n">
        <v>0.5416666666666666</v>
      </c>
      <c r="O82" s="49" t="n"/>
      <c r="P82" s="41" t="n"/>
      <c r="Q82" s="41" t="n"/>
      <c r="R82" s="41" t="n"/>
      <c r="S82" s="41" t="n"/>
      <c r="T82" s="41" t="n"/>
      <c r="U82" s="41" t="n"/>
      <c r="V82" s="41" t="n"/>
      <c r="W82" s="51" t="n"/>
    </row>
    <row r="83" ht="42.75" customFormat="1" customHeight="1" s="35">
      <c r="A83" s="23" t="n"/>
      <c r="B83" s="23" t="n"/>
      <c r="C83" s="23" t="n"/>
      <c r="D83" s="23" t="n"/>
      <c r="E83" s="24" t="n"/>
      <c r="F83" s="163" t="n">
        <v>80</v>
      </c>
      <c r="G83" s="26" t="inlineStr">
        <is>
          <t>99934683585</t>
        </is>
      </c>
      <c r="H83" s="27" t="inlineStr">
        <is>
          <t>NY</t>
        </is>
      </c>
      <c r="I83" s="169" t="inlineStr">
        <is>
          <t>ヤマト</t>
        </is>
      </c>
      <c r="J83" s="36" t="inlineStr">
        <is>
          <t>CA0725</t>
        </is>
      </c>
      <c r="K83" s="40" t="inlineStr">
        <is>
          <t>5-Nov</t>
        </is>
      </c>
      <c r="L83" s="198" t="n">
        <v>311</v>
      </c>
      <c r="M83" s="33" t="inlineStr">
        <is>
          <t>11/5</t>
        </is>
      </c>
      <c r="N83" s="32" t="n">
        <v>0.46875</v>
      </c>
      <c r="O83" s="33" t="n"/>
      <c r="P83" s="23" t="n"/>
      <c r="Q83" s="23" t="n"/>
      <c r="R83" s="23" t="n"/>
      <c r="S83" s="23" t="n"/>
      <c r="T83" s="23" t="n"/>
      <c r="U83" s="23" t="n"/>
      <c r="V83" s="23" t="n"/>
      <c r="W83" s="34" t="n"/>
    </row>
    <row r="84" ht="42.75" customFormat="1" customHeight="1" s="35">
      <c r="A84" s="23" t="n"/>
      <c r="B84" s="23" t="n"/>
      <c r="C84" s="23" t="n"/>
      <c r="D84" s="23" t="n"/>
      <c r="E84" s="24" t="n"/>
      <c r="F84" s="163" t="n">
        <v>81</v>
      </c>
      <c r="G84" s="26" t="inlineStr">
        <is>
          <t>40644238913</t>
        </is>
      </c>
      <c r="H84" s="27" t="inlineStr">
        <is>
          <t>YTO</t>
        </is>
      </c>
      <c r="I84" s="169" t="inlineStr">
        <is>
          <t>ネコポス / 佐川（715）</t>
        </is>
      </c>
      <c r="J84" s="36" t="inlineStr">
        <is>
          <t>5X0105</t>
        </is>
      </c>
      <c r="K84" s="40" t="inlineStr">
        <is>
          <t>4-Nov</t>
        </is>
      </c>
      <c r="L84" s="198" t="n">
        <v>953</v>
      </c>
      <c r="M84" s="33" t="inlineStr">
        <is>
          <t>11/4</t>
        </is>
      </c>
      <c r="N84" s="32" t="n">
        <v>0.9236111111111112</v>
      </c>
      <c r="O84" s="33" t="inlineStr">
        <is>
          <t>11/5</t>
        </is>
      </c>
      <c r="P84" s="37" t="n">
        <v>0.2583333333333334</v>
      </c>
      <c r="Q84" s="23" t="n">
        <v>29</v>
      </c>
      <c r="R84" s="23" t="n"/>
      <c r="S84" s="23" t="n"/>
      <c r="T84" s="23" t="n"/>
      <c r="U84" s="23" t="n"/>
      <c r="V84" s="23" t="n"/>
      <c r="W84" s="34" t="inlineStr">
        <is>
          <t>佐川あり</t>
        </is>
      </c>
    </row>
    <row r="85" ht="42.75" customFormat="1" customHeight="1" s="35">
      <c r="A85" s="23" t="n"/>
      <c r="B85" s="23" t="n"/>
      <c r="C85" s="23" t="n"/>
      <c r="D85" s="23" t="n"/>
      <c r="E85" s="24" t="n"/>
      <c r="F85" s="98" t="inlineStr">
        <is>
          <t>追加</t>
        </is>
      </c>
      <c r="G85" s="26" t="inlineStr">
        <is>
          <t>11239808296</t>
        </is>
      </c>
      <c r="H85" s="27" t="inlineStr">
        <is>
          <t>RG</t>
        </is>
      </c>
      <c r="I85" s="169" t="inlineStr">
        <is>
          <t>ヤマト/　佐川(165)</t>
        </is>
      </c>
      <c r="J85" s="36" t="inlineStr">
        <is>
          <t>MU5077</t>
        </is>
      </c>
      <c r="K85" s="40" t="inlineStr">
        <is>
          <t>5-Nov</t>
        </is>
      </c>
      <c r="L85" s="198" t="n">
        <v>209</v>
      </c>
      <c r="M85" s="33" t="inlineStr">
        <is>
          <t>11/5</t>
        </is>
      </c>
      <c r="N85" s="32" t="n">
        <v>0.5305555555555556</v>
      </c>
      <c r="O85" s="33" t="n"/>
      <c r="P85" s="23" t="n"/>
      <c r="Q85" s="23" t="n"/>
      <c r="R85" s="23" t="n"/>
      <c r="S85" s="23" t="n"/>
      <c r="T85" s="23" t="n"/>
      <c r="U85" s="23" t="n"/>
      <c r="V85" s="23" t="n"/>
      <c r="W85" s="34" t="n"/>
    </row>
    <row r="86" ht="42.75" customFormat="1" customHeight="1" s="35">
      <c r="A86" s="23" t="n"/>
      <c r="B86" s="23" t="n"/>
      <c r="C86" s="23" t="n"/>
      <c r="D86" s="23" t="n"/>
      <c r="E86" s="24" t="n"/>
      <c r="F86" s="98" t="inlineStr">
        <is>
          <t>追加</t>
        </is>
      </c>
      <c r="G86" s="26" t="inlineStr">
        <is>
          <t>08901343952</t>
        </is>
      </c>
      <c r="H86" s="27" t="inlineStr">
        <is>
          <t>CNE</t>
        </is>
      </c>
      <c r="I86" s="169" t="inlineStr">
        <is>
          <t>ヤマト</t>
        </is>
      </c>
      <c r="J86" s="36" t="inlineStr">
        <is>
          <t>9C6575</t>
        </is>
      </c>
      <c r="K86" s="40" t="inlineStr">
        <is>
          <t>5-Nov</t>
        </is>
      </c>
      <c r="L86" s="198" t="n">
        <v>1562</v>
      </c>
      <c r="M86" s="33" t="inlineStr">
        <is>
          <t>11/5</t>
        </is>
      </c>
      <c r="N86" s="32" t="n">
        <v>0.4597222222222222</v>
      </c>
      <c r="O86" s="33" t="n"/>
      <c r="P86" s="23" t="n"/>
      <c r="Q86" s="23" t="n"/>
      <c r="R86" s="23" t="n"/>
      <c r="S86" s="23" t="n"/>
      <c r="T86" s="23" t="n"/>
      <c r="U86" s="23" t="n"/>
      <c r="V86" s="23" t="n"/>
      <c r="W86" s="34" t="n"/>
    </row>
    <row r="87" ht="42.75" customFormat="1" customHeight="1" s="35">
      <c r="A87" s="23" t="n"/>
      <c r="B87" s="23" t="n"/>
      <c r="C87" s="23" t="n"/>
      <c r="D87" s="23" t="n"/>
      <c r="E87" s="24" t="n"/>
      <c r="F87" s="98" t="inlineStr">
        <is>
          <t>追加</t>
        </is>
      </c>
      <c r="G87" s="26" t="inlineStr">
        <is>
          <t>01892093746</t>
        </is>
      </c>
      <c r="H87" s="27" t="inlineStr">
        <is>
          <t>CNE</t>
        </is>
      </c>
      <c r="I87" s="169" t="inlineStr">
        <is>
          <t>ヤマト</t>
        </is>
      </c>
      <c r="J87" s="36" t="inlineStr">
        <is>
          <t>HO1505</t>
        </is>
      </c>
      <c r="K87" s="40" t="inlineStr">
        <is>
          <t>5-Nov</t>
        </is>
      </c>
      <c r="L87" s="198" t="n">
        <v>659</v>
      </c>
      <c r="M87" s="33" t="inlineStr">
        <is>
          <t>11/5</t>
        </is>
      </c>
      <c r="N87" s="32" t="n">
        <v>0.4583333333333333</v>
      </c>
      <c r="O87" s="33" t="n"/>
      <c r="P87" s="23" t="n"/>
      <c r="Q87" s="23" t="n"/>
      <c r="R87" s="23" t="n"/>
      <c r="S87" s="23" t="n"/>
      <c r="T87" s="23" t="n"/>
      <c r="U87" s="23" t="n"/>
      <c r="V87" s="23" t="n"/>
      <c r="W87" s="34" t="n"/>
    </row>
    <row r="88" ht="42.75" customFormat="1" customHeight="1" s="35">
      <c r="A88" s="23" t="n"/>
      <c r="B88" s="23" t="n"/>
      <c r="C88" s="23" t="n"/>
      <c r="D88" s="23" t="n"/>
      <c r="E88" s="24" t="n"/>
      <c r="F88" s="98" t="inlineStr">
        <is>
          <t>追加</t>
        </is>
      </c>
      <c r="G88" s="26" t="inlineStr">
        <is>
          <t>47935695575</t>
        </is>
      </c>
      <c r="H88" s="27" t="inlineStr">
        <is>
          <t>MMA</t>
        </is>
      </c>
      <c r="I88" s="169" t="inlineStr">
        <is>
          <t>ヤマト</t>
        </is>
      </c>
      <c r="J88" s="36" t="inlineStr">
        <is>
          <t>ZH0685</t>
        </is>
      </c>
      <c r="K88" s="40" t="inlineStr">
        <is>
          <t>5-Nov</t>
        </is>
      </c>
      <c r="L88" s="198" t="n">
        <v>143</v>
      </c>
      <c r="M88" s="33" t="inlineStr">
        <is>
          <t>11/5</t>
        </is>
      </c>
      <c r="N88" s="32" t="n">
        <v>0.5069444444444444</v>
      </c>
      <c r="O88" s="33" t="n"/>
      <c r="P88" s="23" t="n"/>
      <c r="Q88" s="23" t="n"/>
      <c r="R88" s="23" t="n"/>
      <c r="S88" s="23" t="n"/>
      <c r="T88" s="23" t="n"/>
      <c r="U88" s="23" t="n"/>
      <c r="V88" s="23" t="n"/>
      <c r="W88" s="34" t="n"/>
    </row>
    <row r="89" ht="42.75" customFormat="1" customHeight="1" s="35">
      <c r="A89" s="23" t="n"/>
      <c r="B89" s="23" t="n"/>
      <c r="C89" s="23" t="n"/>
      <c r="D89" s="23" t="n"/>
      <c r="E89" s="24" t="n"/>
      <c r="F89" s="98" t="inlineStr">
        <is>
          <t>追加</t>
        </is>
      </c>
      <c r="G89" s="26" t="inlineStr">
        <is>
          <t>32402883871</t>
        </is>
      </c>
      <c r="H89" s="27" t="inlineStr">
        <is>
          <t>NY</t>
        </is>
      </c>
      <c r="I89" s="169" t="inlineStr">
        <is>
          <t>ヤマト / ネコポス</t>
        </is>
      </c>
      <c r="J89" s="36" t="inlineStr">
        <is>
          <t>SC2433</t>
        </is>
      </c>
      <c r="K89" s="40" t="inlineStr">
        <is>
          <t>5-Nov</t>
        </is>
      </c>
      <c r="L89" s="198" t="n">
        <v>1253</v>
      </c>
      <c r="M89" s="33" t="inlineStr">
        <is>
          <t>11/5</t>
        </is>
      </c>
      <c r="N89" s="32" t="n">
        <v>0.3680555555555556</v>
      </c>
      <c r="O89" s="33" t="n"/>
      <c r="P89" s="23" t="n"/>
      <c r="Q89" s="23" t="n">
        <v>55</v>
      </c>
      <c r="R89" s="23" t="n"/>
      <c r="S89" s="23" t="n"/>
      <c r="T89" s="23" t="n"/>
      <c r="U89" s="23" t="n"/>
      <c r="V89" s="23" t="n"/>
      <c r="W89" s="34" t="n"/>
    </row>
    <row r="90" ht="42.75" customFormat="1" customHeight="1" s="35">
      <c r="A90" s="23" t="n"/>
      <c r="B90" s="23" t="n"/>
      <c r="C90" s="23" t="n"/>
      <c r="D90" s="23" t="n"/>
      <c r="E90" s="24" t="n"/>
      <c r="F90" s="98" t="inlineStr">
        <is>
          <t>追加</t>
        </is>
      </c>
      <c r="G90" s="26" t="inlineStr">
        <is>
          <t>92149451964</t>
        </is>
      </c>
      <c r="H90" s="27" t="inlineStr">
        <is>
          <t>NY</t>
        </is>
      </c>
      <c r="I90" s="169" t="inlineStr">
        <is>
          <t>ヤマト</t>
        </is>
      </c>
      <c r="J90" s="36" t="inlineStr">
        <is>
          <t>O30277</t>
        </is>
      </c>
      <c r="K90" s="40" t="inlineStr">
        <is>
          <t>5-Nov</t>
        </is>
      </c>
      <c r="L90" s="198" t="n">
        <v>749</v>
      </c>
      <c r="M90" s="33" t="inlineStr">
        <is>
          <t>11/5</t>
        </is>
      </c>
      <c r="N90" s="32" t="n">
        <v>0.5486111111111112</v>
      </c>
      <c r="O90" s="33" t="n"/>
      <c r="P90" s="23" t="n"/>
      <c r="Q90" s="23" t="n"/>
      <c r="R90" s="23" t="n"/>
      <c r="S90" s="23" t="n"/>
      <c r="T90" s="23" t="n"/>
      <c r="U90" s="23" t="n"/>
      <c r="V90" s="23" t="n"/>
      <c r="W90" s="101" t="inlineStr">
        <is>
          <t>緊急依頼済み</t>
        </is>
      </c>
    </row>
    <row r="91" ht="42.75" customFormat="1" customHeight="1" s="35">
      <c r="A91" s="23" t="n"/>
      <c r="B91" s="23" t="n"/>
      <c r="C91" s="23" t="n"/>
      <c r="D91" s="23" t="n"/>
      <c r="E91" s="24" t="n"/>
      <c r="F91" s="98" t="inlineStr">
        <is>
          <t>追加</t>
        </is>
      </c>
      <c r="G91" s="26" t="inlineStr">
        <is>
          <t>92149766555</t>
        </is>
      </c>
      <c r="H91" s="27" t="inlineStr">
        <is>
          <t>YTO</t>
        </is>
      </c>
      <c r="I91" s="169" t="inlineStr">
        <is>
          <t>佐川</t>
        </is>
      </c>
      <c r="J91" s="36" t="inlineStr">
        <is>
          <t>O30277</t>
        </is>
      </c>
      <c r="K91" s="40" t="inlineStr">
        <is>
          <t>5-Nov</t>
        </is>
      </c>
      <c r="L91" s="198" t="n">
        <v>413</v>
      </c>
      <c r="M91" s="33" t="inlineStr">
        <is>
          <t>11/5</t>
        </is>
      </c>
      <c r="N91" s="32" t="n">
        <v>0.5486111111111112</v>
      </c>
      <c r="O91" s="33" t="n"/>
      <c r="P91" s="23" t="n"/>
      <c r="Q91" s="23" t="n"/>
      <c r="R91" s="23" t="n"/>
      <c r="S91" s="23" t="n"/>
      <c r="T91" s="23" t="n"/>
      <c r="U91" s="23" t="n"/>
      <c r="V91" s="23" t="n"/>
      <c r="W91" s="34" t="inlineStr">
        <is>
          <t>佐川あり</t>
        </is>
      </c>
    </row>
    <row r="92" ht="42.75" customFormat="1" customHeight="1" s="35">
      <c r="A92" s="23" t="n"/>
      <c r="B92" s="23" t="n"/>
      <c r="C92" s="23" t="n"/>
      <c r="D92" s="23" t="n"/>
      <c r="E92" s="24" t="n"/>
      <c r="F92" s="98" t="inlineStr">
        <is>
          <t>追加</t>
        </is>
      </c>
      <c r="G92" s="26" t="inlineStr">
        <is>
          <t>16003137853</t>
        </is>
      </c>
      <c r="H92" s="27" t="inlineStr">
        <is>
          <t>YTO</t>
        </is>
      </c>
      <c r="I92" s="169" t="inlineStr">
        <is>
          <t>佐川</t>
        </is>
      </c>
      <c r="J92" s="36" t="inlineStr">
        <is>
          <t>LD0204</t>
        </is>
      </c>
      <c r="K92" s="40" t="inlineStr">
        <is>
          <t>5-Nov</t>
        </is>
      </c>
      <c r="L92" s="198" t="n">
        <v>277</v>
      </c>
      <c r="M92" s="33" t="inlineStr">
        <is>
          <t>11/5</t>
        </is>
      </c>
      <c r="N92" s="32" t="n">
        <v>0.3604166666666667</v>
      </c>
      <c r="O92" s="33" t="n"/>
      <c r="P92" s="23" t="n"/>
      <c r="Q92" s="23" t="n"/>
      <c r="R92" s="23" t="n"/>
      <c r="S92" s="23" t="n"/>
      <c r="T92" s="23" t="n"/>
      <c r="U92" s="23" t="n"/>
      <c r="V92" s="23" t="n"/>
      <c r="W92" s="34" t="inlineStr">
        <is>
          <t>佐川あり</t>
        </is>
      </c>
    </row>
    <row r="93" ht="42.75" customFormat="1" customHeight="1" s="52">
      <c r="A93" s="41" t="n"/>
      <c r="B93" s="41" t="n"/>
      <c r="C93" s="41" t="n"/>
      <c r="D93" s="41" t="n"/>
      <c r="E93" s="42" t="n"/>
      <c r="F93" s="97" t="inlineStr">
        <is>
          <t>追加</t>
        </is>
      </c>
      <c r="G93" s="44" t="inlineStr">
        <is>
          <t>87711331530</t>
        </is>
      </c>
      <c r="H93" s="45" t="inlineStr">
        <is>
          <t>CAINIAO-E</t>
        </is>
      </c>
      <c r="I93" s="177" t="inlineStr">
        <is>
          <t>ヤマト</t>
        </is>
      </c>
      <c r="J93" s="47" t="inlineStr">
        <is>
          <t>HT3867</t>
        </is>
      </c>
      <c r="K93" s="96" t="inlineStr">
        <is>
          <t>5-Nov</t>
        </is>
      </c>
      <c r="L93" s="205" t="n">
        <v>831</v>
      </c>
      <c r="M93" s="49" t="inlineStr">
        <is>
          <t>11/5</t>
        </is>
      </c>
      <c r="N93" s="50" t="n">
        <v>0.07361111111111111</v>
      </c>
      <c r="O93" s="49" t="n"/>
      <c r="P93" s="41" t="n"/>
      <c r="Q93" s="41" t="n"/>
      <c r="R93" s="41" t="n"/>
      <c r="S93" s="41" t="n"/>
      <c r="T93" s="41" t="n"/>
      <c r="U93" s="41" t="n"/>
      <c r="V93" s="41" t="n"/>
      <c r="W93" s="51" t="n"/>
    </row>
    <row r="94" ht="42.75" customFormat="1" customHeight="1" s="35">
      <c r="A94" s="23" t="n"/>
      <c r="B94" s="23" t="n"/>
      <c r="C94" s="23" t="n"/>
      <c r="D94" s="23" t="n"/>
      <c r="E94" s="24" t="n"/>
      <c r="F94" s="98" t="inlineStr">
        <is>
          <t>追加</t>
        </is>
      </c>
      <c r="G94" s="26" t="inlineStr">
        <is>
          <t>99937722871</t>
        </is>
      </c>
      <c r="H94" s="27" t="inlineStr">
        <is>
          <t>YNE</t>
        </is>
      </c>
      <c r="I94" s="169" t="inlineStr">
        <is>
          <t>ヤマト</t>
        </is>
      </c>
      <c r="J94" s="36" t="inlineStr">
        <is>
          <t>CA0921</t>
        </is>
      </c>
      <c r="K94" s="40" t="inlineStr">
        <is>
          <t>5-Nov</t>
        </is>
      </c>
      <c r="L94" s="198" t="n">
        <v>1098</v>
      </c>
      <c r="M94" s="33" t="inlineStr">
        <is>
          <t>11/5</t>
        </is>
      </c>
      <c r="N94" s="32" t="n">
        <v>0.5069444444444444</v>
      </c>
      <c r="O94" s="33" t="n"/>
      <c r="P94" s="23" t="n"/>
      <c r="Q94" s="23" t="n"/>
      <c r="R94" s="23" t="n"/>
      <c r="S94" s="23" t="n"/>
      <c r="T94" s="23" t="n"/>
      <c r="U94" s="23" t="n"/>
      <c r="V94" s="23" t="n"/>
      <c r="W94" s="101" t="inlineStr">
        <is>
          <t>緊急依頼済み</t>
        </is>
      </c>
    </row>
    <row r="95" ht="42.75" customFormat="1" customHeight="1" s="113">
      <c r="A95" s="102" t="n"/>
      <c r="B95" s="102" t="n"/>
      <c r="C95" s="102" t="n"/>
      <c r="D95" s="102" t="n"/>
      <c r="E95" s="102" t="n"/>
      <c r="F95" s="103" t="inlineStr">
        <is>
          <t>予定</t>
        </is>
      </c>
      <c r="G95" s="104" t="inlineStr">
        <is>
          <t>47935695844</t>
        </is>
      </c>
      <c r="H95" s="105" t="inlineStr">
        <is>
          <t>YNE</t>
        </is>
      </c>
      <c r="I95" s="106" t="n"/>
      <c r="J95" s="107" t="inlineStr">
        <is>
          <t>ZH0685</t>
        </is>
      </c>
      <c r="K95" s="108" t="inlineStr">
        <is>
          <t>5-Nov</t>
        </is>
      </c>
      <c r="L95" s="212" t="n">
        <v>252</v>
      </c>
      <c r="M95" s="110" t="inlineStr">
        <is>
          <t>11/5</t>
        </is>
      </c>
      <c r="N95" s="111" t="n">
        <v>0.5416666666666666</v>
      </c>
      <c r="O95" s="110" t="n"/>
      <c r="P95" s="102" t="n"/>
      <c r="Q95" s="102" t="n"/>
      <c r="R95" s="102" t="n"/>
      <c r="S95" s="102" t="n"/>
      <c r="T95" s="102" t="n"/>
      <c r="U95" s="102" t="n"/>
      <c r="V95" s="102" t="n"/>
      <c r="W95" s="112" t="inlineStr">
        <is>
          <t>緊急</t>
        </is>
      </c>
    </row>
    <row r="96" ht="42.75" customFormat="1" customHeight="1" s="113">
      <c r="A96" s="102" t="n"/>
      <c r="B96" s="102" t="n"/>
      <c r="C96" s="102" t="n"/>
      <c r="D96" s="102" t="n"/>
      <c r="E96" s="102" t="n"/>
      <c r="F96" s="103" t="inlineStr">
        <is>
          <t>予定</t>
        </is>
      </c>
      <c r="G96" s="104" t="inlineStr">
        <is>
          <t>99937526801</t>
        </is>
      </c>
      <c r="H96" s="105" t="inlineStr">
        <is>
          <t>YNE</t>
        </is>
      </c>
      <c r="I96" s="106" t="n"/>
      <c r="J96" s="107" t="inlineStr">
        <is>
          <t>CA0725</t>
        </is>
      </c>
      <c r="K96" s="108" t="inlineStr">
        <is>
          <t>5-Nov</t>
        </is>
      </c>
      <c r="L96" s="212" t="n">
        <v>683</v>
      </c>
      <c r="M96" s="110" t="inlineStr">
        <is>
          <t>11/5</t>
        </is>
      </c>
      <c r="N96" s="111" t="n">
        <v>0.46875</v>
      </c>
      <c r="O96" s="110" t="n"/>
      <c r="P96" s="102" t="n"/>
      <c r="Q96" s="102" t="n"/>
      <c r="R96" s="102" t="n"/>
      <c r="S96" s="102" t="n"/>
      <c r="T96" s="102" t="n"/>
      <c r="U96" s="102" t="n"/>
      <c r="V96" s="102" t="n"/>
      <c r="W96" s="112" t="inlineStr">
        <is>
          <t>緊急</t>
        </is>
      </c>
    </row>
    <row r="97" ht="42.75" customFormat="1" customHeight="1" s="113">
      <c r="A97" s="102" t="n"/>
      <c r="B97" s="102" t="n"/>
      <c r="C97" s="102" t="n"/>
      <c r="D97" s="102" t="n"/>
      <c r="E97" s="102" t="n"/>
      <c r="F97" s="103" t="inlineStr">
        <is>
          <t>予定</t>
        </is>
      </c>
      <c r="G97" s="104" t="inlineStr">
        <is>
          <t>80422292336</t>
        </is>
      </c>
      <c r="H97" s="105" t="inlineStr">
        <is>
          <t>YNE</t>
        </is>
      </c>
      <c r="I97" s="106" t="n"/>
      <c r="J97" s="107" t="inlineStr">
        <is>
          <t>CF0215</t>
        </is>
      </c>
      <c r="K97" s="108" t="inlineStr">
        <is>
          <t>5-Nov</t>
        </is>
      </c>
      <c r="L97" s="212" t="n">
        <v>2100</v>
      </c>
      <c r="M97" s="110" t="inlineStr">
        <is>
          <t>11/5</t>
        </is>
      </c>
      <c r="N97" s="111" t="n">
        <v>0.4826388888888889</v>
      </c>
      <c r="O97" s="110" t="n"/>
      <c r="P97" s="102" t="n"/>
      <c r="Q97" s="102" t="n"/>
      <c r="R97" s="102" t="n"/>
      <c r="S97" s="102" t="n"/>
      <c r="T97" s="102" t="n"/>
      <c r="U97" s="102" t="n"/>
      <c r="V97" s="102" t="n"/>
      <c r="W97" s="112" t="inlineStr">
        <is>
          <t>緊急</t>
        </is>
      </c>
    </row>
    <row r="98" ht="42.75" customFormat="1" customHeight="1" s="35">
      <c r="A98" s="23" t="n"/>
      <c r="B98" s="23" t="n"/>
      <c r="C98" s="23" t="n"/>
      <c r="D98" s="23" t="n"/>
      <c r="E98" s="24" t="n"/>
      <c r="F98" s="163" t="n"/>
      <c r="G98" s="26" t="n"/>
      <c r="H98" s="27" t="n"/>
      <c r="I98" s="169" t="n"/>
      <c r="J98" s="36" t="n"/>
      <c r="K98" s="40" t="n"/>
      <c r="L98" s="198" t="n"/>
      <c r="M98" s="33" t="n"/>
      <c r="N98" s="32" t="n"/>
      <c r="O98" s="33" t="n"/>
      <c r="P98" s="23" t="n"/>
      <c r="Q98" s="23" t="n"/>
      <c r="R98" s="23" t="n"/>
      <c r="S98" s="23" t="n"/>
      <c r="T98" s="23" t="n"/>
      <c r="U98" s="23" t="n"/>
      <c r="V98" s="23" t="n"/>
      <c r="W98" s="34" t="n"/>
    </row>
    <row r="99" ht="42.75" customFormat="1" customHeight="1" s="35">
      <c r="A99" s="23" t="n"/>
      <c r="B99" s="23" t="n"/>
      <c r="C99" s="23" t="n"/>
      <c r="D99" s="23" t="n"/>
      <c r="E99" s="24" t="n"/>
      <c r="F99" s="163" t="n"/>
      <c r="G99" s="26" t="n"/>
      <c r="H99" s="27" t="n"/>
      <c r="I99" s="169" t="n"/>
      <c r="J99" s="36" t="n"/>
      <c r="K99" s="40" t="n"/>
      <c r="L99" s="198" t="n"/>
      <c r="M99" s="33" t="n"/>
      <c r="N99" s="32" t="n"/>
      <c r="O99" s="33" t="n"/>
      <c r="P99" s="23" t="n"/>
      <c r="Q99" s="23" t="n"/>
      <c r="R99" s="23" t="n"/>
      <c r="S99" s="23" t="n"/>
      <c r="T99" s="23" t="n"/>
      <c r="U99" s="23" t="n"/>
      <c r="V99" s="23" t="n"/>
      <c r="W99" s="34" t="n"/>
    </row>
    <row r="100" ht="42.75" customFormat="1" customHeight="1" s="35">
      <c r="A100" s="23" t="n"/>
      <c r="B100" s="23" t="n"/>
      <c r="C100" s="23" t="n"/>
      <c r="D100" s="23" t="n"/>
      <c r="E100" s="24" t="n"/>
      <c r="F100" s="163" t="n"/>
      <c r="G100" s="26" t="n"/>
      <c r="H100" s="27" t="n"/>
      <c r="I100" s="169" t="n"/>
      <c r="J100" s="36" t="n"/>
      <c r="K100" s="40" t="n"/>
      <c r="L100" s="198" t="n"/>
      <c r="M100" s="33" t="n"/>
      <c r="N100" s="32" t="n"/>
      <c r="O100" s="33" t="n"/>
      <c r="P100" s="23" t="n"/>
      <c r="Q100" s="23" t="n"/>
      <c r="R100" s="23" t="n"/>
      <c r="S100" s="23" t="n"/>
      <c r="T100" s="23" t="n"/>
      <c r="U100" s="23" t="n"/>
      <c r="V100" s="23" t="n"/>
      <c r="W100" s="34" t="n"/>
    </row>
    <row r="101" ht="42.75" customFormat="1" customHeight="1" s="35">
      <c r="A101" s="23" t="n"/>
      <c r="B101" s="23" t="n"/>
      <c r="C101" s="23" t="n"/>
      <c r="D101" s="23" t="n"/>
      <c r="E101" s="24" t="n"/>
      <c r="F101" s="163" t="n"/>
      <c r="G101" s="26" t="n"/>
      <c r="H101" s="27" t="n"/>
      <c r="I101" s="169" t="n"/>
      <c r="J101" s="36" t="n"/>
      <c r="K101" s="40" t="n"/>
      <c r="L101" s="198" t="n"/>
      <c r="M101" s="33" t="n"/>
      <c r="N101" s="32" t="n"/>
      <c r="O101" s="33" t="n"/>
      <c r="P101" s="23" t="n"/>
      <c r="Q101" s="23" t="n"/>
      <c r="R101" s="23" t="n"/>
      <c r="S101" s="23" t="n"/>
      <c r="T101" s="23" t="n"/>
      <c r="U101" s="23" t="n"/>
      <c r="V101" s="23" t="n"/>
      <c r="W101" s="34" t="n"/>
    </row>
    <row r="102" ht="42.75" customFormat="1" customHeight="1" s="35">
      <c r="A102" s="23" t="n"/>
      <c r="B102" s="23" t="n"/>
      <c r="C102" s="23" t="n"/>
      <c r="D102" s="23" t="n"/>
      <c r="E102" s="24" t="n"/>
      <c r="F102" s="163" t="n"/>
      <c r="G102" s="26" t="n"/>
      <c r="H102" s="27" t="n"/>
      <c r="I102" s="169" t="n"/>
      <c r="J102" s="36" t="n"/>
      <c r="K102" s="40" t="n"/>
      <c r="L102" s="198" t="n"/>
      <c r="M102" s="33" t="n"/>
      <c r="N102" s="32" t="n"/>
      <c r="O102" s="33" t="n"/>
      <c r="P102" s="23" t="n"/>
      <c r="Q102" s="23" t="n"/>
      <c r="R102" s="23" t="n"/>
      <c r="S102" s="23" t="n"/>
      <c r="T102" s="23" t="n"/>
      <c r="U102" s="23" t="n"/>
      <c r="V102" s="23" t="n"/>
      <c r="W102" s="34" t="n"/>
    </row>
    <row r="103" ht="42.75" customFormat="1" customHeight="1" s="35">
      <c r="A103" s="23" t="n"/>
      <c r="B103" s="23" t="n"/>
      <c r="C103" s="23" t="n"/>
      <c r="D103" s="23" t="n"/>
      <c r="E103" s="24" t="n"/>
      <c r="F103" s="163" t="n"/>
      <c r="G103" s="26" t="n"/>
      <c r="H103" s="27" t="n"/>
      <c r="I103" s="169" t="n"/>
      <c r="J103" s="36" t="n"/>
      <c r="K103" s="40" t="n"/>
      <c r="L103" s="198" t="n"/>
      <c r="M103" s="33" t="n"/>
      <c r="N103" s="32" t="n"/>
      <c r="O103" s="33" t="n"/>
      <c r="P103" s="23" t="n"/>
      <c r="Q103" s="23" t="n"/>
      <c r="R103" s="23" t="n"/>
      <c r="S103" s="23" t="n"/>
      <c r="T103" s="23" t="n"/>
      <c r="U103" s="23" t="n"/>
      <c r="V103" s="23" t="n"/>
      <c r="W103" s="34" t="n"/>
    </row>
    <row r="104" ht="42.75" customFormat="1" customHeight="1" s="35">
      <c r="A104" s="23" t="n"/>
      <c r="B104" s="23" t="n"/>
      <c r="C104" s="23" t="n"/>
      <c r="D104" s="23" t="n"/>
      <c r="E104" s="24" t="n"/>
      <c r="F104" s="163" t="n"/>
      <c r="G104" s="26" t="n"/>
      <c r="H104" s="27" t="n"/>
      <c r="I104" s="169" t="n"/>
      <c r="J104" s="36" t="n"/>
      <c r="K104" s="40" t="n"/>
      <c r="L104" s="198" t="n"/>
      <c r="M104" s="33" t="n"/>
      <c r="N104" s="32" t="n"/>
      <c r="O104" s="33" t="n"/>
      <c r="P104" s="23" t="n"/>
      <c r="Q104" s="23" t="n"/>
      <c r="R104" s="23" t="n"/>
      <c r="S104" s="23" t="n"/>
      <c r="T104" s="23" t="n"/>
      <c r="U104" s="23" t="n"/>
      <c r="V104" s="23" t="n"/>
      <c r="W104" s="34" t="n"/>
    </row>
    <row r="105" ht="42.75" customFormat="1" customHeight="1" s="35">
      <c r="A105" s="23" t="n"/>
      <c r="B105" s="23" t="n"/>
      <c r="C105" s="23" t="n"/>
      <c r="D105" s="23" t="n"/>
      <c r="E105" s="24" t="n"/>
      <c r="F105" s="163" t="n"/>
      <c r="G105" s="26" t="n"/>
      <c r="H105" s="27" t="n"/>
      <c r="I105" s="169" t="n"/>
      <c r="J105" s="36" t="n"/>
      <c r="K105" s="40" t="n"/>
      <c r="L105" s="198" t="n"/>
      <c r="M105" s="33" t="n"/>
      <c r="N105" s="32" t="n"/>
      <c r="O105" s="33" t="n"/>
      <c r="P105" s="23" t="n"/>
      <c r="Q105" s="23" t="n"/>
      <c r="R105" s="23" t="n"/>
      <c r="S105" s="23" t="n"/>
      <c r="T105" s="23" t="n"/>
      <c r="U105" s="23" t="n"/>
      <c r="V105" s="23" t="n"/>
      <c r="W105" s="34" t="n"/>
    </row>
    <row r="106" ht="42.75" customFormat="1" customHeight="1" s="35">
      <c r="A106" s="23" t="n"/>
      <c r="B106" s="23" t="n"/>
      <c r="C106" s="23" t="n"/>
      <c r="D106" s="23" t="n"/>
      <c r="E106" s="24" t="n"/>
      <c r="F106" s="163" t="n"/>
      <c r="G106" s="26" t="n"/>
      <c r="H106" s="27" t="n"/>
      <c r="I106" s="169" t="n"/>
      <c r="J106" s="36" t="n"/>
      <c r="K106" s="40" t="n"/>
      <c r="L106" s="198" t="n"/>
      <c r="M106" s="33" t="n"/>
      <c r="N106" s="32" t="n"/>
      <c r="O106" s="33" t="n"/>
      <c r="P106" s="23" t="n"/>
      <c r="Q106" s="23" t="n"/>
      <c r="R106" s="23" t="n"/>
      <c r="S106" s="23" t="n"/>
      <c r="T106" s="23" t="n"/>
      <c r="U106" s="23" t="n"/>
      <c r="V106" s="23" t="n"/>
      <c r="W106" s="34" t="n"/>
    </row>
    <row r="107" ht="42.75" customFormat="1" customHeight="1" s="35">
      <c r="A107" s="23" t="n"/>
      <c r="B107" s="23" t="n"/>
      <c r="C107" s="23" t="n"/>
      <c r="D107" s="23" t="n"/>
      <c r="E107" s="24" t="n"/>
      <c r="F107" s="163" t="n"/>
      <c r="G107" s="26" t="n"/>
      <c r="H107" s="27" t="n"/>
      <c r="I107" s="169" t="n"/>
      <c r="J107" s="36" t="n"/>
      <c r="K107" s="40" t="n"/>
      <c r="L107" s="198" t="n"/>
      <c r="M107" s="33" t="n"/>
      <c r="N107" s="32" t="n"/>
      <c r="O107" s="33" t="n"/>
      <c r="P107" s="23" t="n"/>
      <c r="Q107" s="23" t="n"/>
      <c r="R107" s="23" t="n"/>
      <c r="S107" s="23" t="n"/>
      <c r="T107" s="23" t="n"/>
      <c r="U107" s="23" t="n"/>
      <c r="V107" s="23" t="n"/>
      <c r="W107" s="34" t="n"/>
    </row>
    <row r="108" ht="42.75" customFormat="1" customHeight="1" s="35">
      <c r="A108" s="23" t="n"/>
      <c r="B108" s="23" t="n"/>
      <c r="C108" s="23" t="n"/>
      <c r="D108" s="23" t="n"/>
      <c r="E108" s="24" t="n"/>
      <c r="F108" s="163" t="n"/>
      <c r="G108" s="26" t="n"/>
      <c r="H108" s="27" t="n"/>
      <c r="I108" s="169" t="n"/>
      <c r="J108" s="36" t="n"/>
      <c r="K108" s="40" t="n"/>
      <c r="L108" s="198" t="n"/>
      <c r="M108" s="33" t="n"/>
      <c r="N108" s="32" t="n"/>
      <c r="O108" s="33" t="n"/>
      <c r="P108" s="23" t="n"/>
      <c r="Q108" s="23" t="n"/>
      <c r="R108" s="23" t="n"/>
      <c r="S108" s="23" t="n"/>
      <c r="T108" s="23" t="n"/>
      <c r="U108" s="23" t="n"/>
      <c r="V108" s="23" t="n"/>
      <c r="W108" s="34" t="n"/>
    </row>
    <row r="187" customFormat="1" s="115">
      <c r="A187" s="1" t="n"/>
      <c r="B187" s="1" t="n"/>
      <c r="C187" s="1" t="n"/>
      <c r="D187" s="1" t="n"/>
      <c r="E187" s="114" t="n"/>
      <c r="F187" s="22" t="n"/>
      <c r="H187" s="22" t="n"/>
      <c r="I187" s="22" t="n"/>
      <c r="J187" s="22" t="n"/>
      <c r="K187" s="187" t="n"/>
      <c r="L187" s="188" t="n"/>
      <c r="N187" s="22" t="n"/>
      <c r="P187" s="22" t="n"/>
      <c r="Q187" s="22" t="n"/>
      <c r="R187" s="1" t="n"/>
      <c r="S187" s="22" t="n"/>
      <c r="T187" s="22" t="n"/>
      <c r="U187" s="22" t="n"/>
      <c r="V187" s="22" t="n"/>
      <c r="W187" s="114" t="n"/>
    </row>
  </sheetData>
  <autoFilter ref="A4:W97"/>
  <mergeCells count="26">
    <mergeCell ref="G17:G18"/>
    <mergeCell ref="G13:G14"/>
    <mergeCell ref="H56:H57"/>
    <mergeCell ref="H31:H32"/>
    <mergeCell ref="T2:V2"/>
    <mergeCell ref="A1:W1"/>
    <mergeCell ref="I71:I72"/>
    <mergeCell ref="H17:H18"/>
    <mergeCell ref="F17:F18"/>
    <mergeCell ref="F33:F34"/>
    <mergeCell ref="I17:I18"/>
    <mergeCell ref="F56:F57"/>
    <mergeCell ref="I33:I34"/>
    <mergeCell ref="F13:F14"/>
    <mergeCell ref="F31:F32"/>
    <mergeCell ref="H13:H14"/>
    <mergeCell ref="F71:F72"/>
    <mergeCell ref="H71:H72"/>
    <mergeCell ref="G33:G34"/>
    <mergeCell ref="I13:I14"/>
    <mergeCell ref="G56:G57"/>
    <mergeCell ref="I31:I32"/>
    <mergeCell ref="G71:G72"/>
    <mergeCell ref="H33:H34"/>
    <mergeCell ref="G31:G32"/>
    <mergeCell ref="T3:U3"/>
  </mergeCells>
  <conditionalFormatting sqref="A35">
    <cfRule type="duplicateValues" priority="15" dxfId="0"/>
  </conditionalFormatting>
  <conditionalFormatting sqref="A5:A34 A36:A68">
    <cfRule type="duplicateValues" priority="261" dxfId="0"/>
  </conditionalFormatting>
  <conditionalFormatting sqref="A69:A108">
    <cfRule type="duplicateValues" priority="263" dxfId="0"/>
  </conditionalFormatting>
  <conditionalFormatting sqref="C35 G35">
    <cfRule type="duplicateValues" priority="17" dxfId="0"/>
  </conditionalFormatting>
  <conditionalFormatting sqref="C35">
    <cfRule type="duplicateValues" priority="11" dxfId="0"/>
    <cfRule type="duplicateValues" priority="7" dxfId="0"/>
    <cfRule type="duplicateValues" priority="16" dxfId="0"/>
  </conditionalFormatting>
  <conditionalFormatting sqref="C5:C34 C36:C68">
    <cfRule type="duplicateValues" priority="262" dxfId="0"/>
  </conditionalFormatting>
  <conditionalFormatting sqref="C69:C108">
    <cfRule type="duplicateValues" priority="264" dxfId="0"/>
  </conditionalFormatting>
  <conditionalFormatting sqref="G1:G4">
    <cfRule type="duplicateValues" priority="213" dxfId="0"/>
    <cfRule type="duplicateValues" priority="212" dxfId="0"/>
    <cfRule type="duplicateValues" priority="211" dxfId="0"/>
    <cfRule type="duplicateValues" priority="210" dxfId="0"/>
    <cfRule type="duplicateValues" priority="220" dxfId="0"/>
    <cfRule type="duplicateValues" priority="208" dxfId="0"/>
    <cfRule type="duplicateValues" priority="207" dxfId="0"/>
    <cfRule type="duplicateValues" priority="206" dxfId="0"/>
    <cfRule type="duplicateValues" priority="205" dxfId="0"/>
    <cfRule type="duplicateValues" priority="204" dxfId="0"/>
    <cfRule type="duplicateValues" priority="203" dxfId="0"/>
    <cfRule type="duplicateValues" priority="209" dxfId="0"/>
    <cfRule type="duplicateValues" priority="202" dxfId="0"/>
    <cfRule type="duplicateValues" priority="201" dxfId="0"/>
    <cfRule type="duplicateValues" priority="200" dxfId="0"/>
    <cfRule type="duplicateValues" priority="235" dxfId="0"/>
    <cfRule type="duplicateValues" priority="219" dxfId="0"/>
    <cfRule type="duplicateValues" priority="218" dxfId="0"/>
    <cfRule type="duplicateValues" priority="217" dxfId="0"/>
    <cfRule type="duplicateValues" priority="242" dxfId="0"/>
    <cfRule type="duplicateValues" priority="241" dxfId="0"/>
    <cfRule type="duplicateValues" priority="240" dxfId="0"/>
    <cfRule type="duplicateValues" priority="239" dxfId="0"/>
    <cfRule type="duplicateValues" priority="238" dxfId="0"/>
    <cfRule type="duplicateValues" priority="237" dxfId="0"/>
    <cfRule type="duplicateValues" priority="236" dxfId="0"/>
    <cfRule type="duplicateValues" priority="233" dxfId="0"/>
    <cfRule type="duplicateValues" priority="232" dxfId="0"/>
    <cfRule type="duplicateValues" priority="234" dxfId="0"/>
    <cfRule type="duplicateValues" priority="231" dxfId="0"/>
    <cfRule type="duplicateValues" priority="230" dxfId="0"/>
    <cfRule type="duplicateValues" priority="229" dxfId="0"/>
    <cfRule type="duplicateValues" priority="228" dxfId="0"/>
    <cfRule type="duplicateValues" priority="227" dxfId="0"/>
    <cfRule type="duplicateValues" priority="226" dxfId="0"/>
    <cfRule type="duplicateValues" priority="225" dxfId="0"/>
    <cfRule type="duplicateValues" priority="224" dxfId="0"/>
    <cfRule type="duplicateValues" priority="223" dxfId="0"/>
    <cfRule type="duplicateValues" priority="222" dxfId="0"/>
    <cfRule type="duplicateValues" priority="221" dxfId="0"/>
    <cfRule type="duplicateValues" priority="216" dxfId="0"/>
    <cfRule type="duplicateValues" priority="215" dxfId="0"/>
    <cfRule type="duplicateValues" priority="214" dxfId="0"/>
  </conditionalFormatting>
  <conditionalFormatting sqref="G30:G31">
    <cfRule type="duplicateValues" priority="255" dxfId="0"/>
  </conditionalFormatting>
  <conditionalFormatting sqref="G35">
    <cfRule type="duplicateValues" priority="2" dxfId="0"/>
    <cfRule type="duplicateValues" priority="3" dxfId="0"/>
    <cfRule type="duplicateValues" priority="4" dxfId="0"/>
    <cfRule type="duplicateValues" priority="5" dxfId="0"/>
    <cfRule type="duplicateValues" priority="6" dxfId="0"/>
    <cfRule type="duplicateValues" priority="8" dxfId="0"/>
    <cfRule type="duplicateValues" priority="9" dxfId="0"/>
    <cfRule type="duplicateValues" priority="10" dxfId="0"/>
    <cfRule type="duplicateValues" priority="12" dxfId="0"/>
    <cfRule type="duplicateValues" priority="13" dxfId="0"/>
    <cfRule type="duplicateValues" priority="14" dxfId="0"/>
    <cfRule type="duplicateValues" priority="18" dxfId="0"/>
    <cfRule type="duplicateValues" priority="19" dxfId="0"/>
    <cfRule type="duplicateValues" priority="20" dxfId="0"/>
    <cfRule type="duplicateValues" priority="21" dxfId="0"/>
  </conditionalFormatting>
  <conditionalFormatting sqref="C5:C34 C36:C68 G5:G13 G15:G17 G19:G31 G33 G36:G56 G58:G68">
    <cfRule type="duplicateValues" priority="256" dxfId="0"/>
  </conditionalFormatting>
  <conditionalFormatting sqref="G5:G13 G15:G17 G19:G31 G33 G36:G56 G58:G68">
    <cfRule type="duplicateValues" priority="258" dxfId="0"/>
    <cfRule type="duplicateValues" priority="259" dxfId="0"/>
    <cfRule type="duplicateValues" priority="260" dxfId="0"/>
    <cfRule type="duplicateValues" priority="257" dxfId="0"/>
  </conditionalFormatting>
  <conditionalFormatting sqref="G69:G70">
    <cfRule type="duplicateValues" priority="243" dxfId="0"/>
    <cfRule type="duplicateValues" priority="253" dxfId="0"/>
    <cfRule type="duplicateValues" priority="254" dxfId="0"/>
    <cfRule type="duplicateValues" priority="252" dxfId="0"/>
    <cfRule type="duplicateValues" priority="251" dxfId="0"/>
    <cfRule type="duplicateValues" priority="250" dxfId="0"/>
    <cfRule type="duplicateValues" priority="248" dxfId="0"/>
    <cfRule type="duplicateValues" priority="247" dxfId="0"/>
    <cfRule type="duplicateValues" priority="244" dxfId="0"/>
    <cfRule type="duplicateValues" priority="249" dxfId="0"/>
    <cfRule type="duplicateValues" priority="246" dxfId="0"/>
    <cfRule type="duplicateValues" priority="245" dxfId="0"/>
  </conditionalFormatting>
  <conditionalFormatting sqref="C1:C4 C69:C1048576 G1:G4 G71 G73:G1048576">
    <cfRule type="duplicateValues" priority="41" dxfId="0"/>
  </conditionalFormatting>
  <conditionalFormatting sqref="G1:G4 G71 G73:G1048576">
    <cfRule type="duplicateValues" priority="49" dxfId="0"/>
    <cfRule type="duplicateValues" priority="40" dxfId="0"/>
    <cfRule type="duplicateValues" priority="46" dxfId="0"/>
    <cfRule type="duplicateValues" priority="39" dxfId="0"/>
    <cfRule type="duplicateValues" priority="38" dxfId="0"/>
    <cfRule type="duplicateValues" priority="37" dxfId="0"/>
    <cfRule type="duplicateValues" priority="36" dxfId="0"/>
    <cfRule type="duplicateValues" priority="35" dxfId="0"/>
    <cfRule type="duplicateValues" priority="45" dxfId="0"/>
    <cfRule type="duplicateValues" priority="34" dxfId="0"/>
  </conditionalFormatting>
  <conditionalFormatting sqref="C1:C34 C36:C1048576 G1:G13 G15:G17 G19:G31 G33 G36:G56 G58:G68 G71 G73:G1048576">
    <cfRule type="duplicateValues" priority="30" dxfId="0"/>
  </conditionalFormatting>
  <conditionalFormatting sqref="G1:G13 G15:G17 G19:G31 G33 G36:G56 G58:G68 G71 G73:G1048576">
    <cfRule type="duplicateValues" priority="25" dxfId="0"/>
    <cfRule type="duplicateValues" priority="26" dxfId="0"/>
    <cfRule type="duplicateValues" priority="27" dxfId="0"/>
    <cfRule type="duplicateValues" priority="28" dxfId="0"/>
    <cfRule type="duplicateValues" priority="29" dxfId="0"/>
    <cfRule type="duplicateValues" priority="31" dxfId="0"/>
    <cfRule type="duplicateValues" priority="32" dxfId="0"/>
    <cfRule type="duplicateValues" priority="33" dxfId="0"/>
  </conditionalFormatting>
  <conditionalFormatting sqref="G71 G73:G108">
    <cfRule type="duplicateValues" priority="267" dxfId="0"/>
    <cfRule type="duplicateValues" priority="266" dxfId="0"/>
    <cfRule type="duplicateValues" priority="265" dxfId="0"/>
  </conditionalFormatting>
  <conditionalFormatting sqref="G71 G73:G1048576">
    <cfRule type="duplicateValues" priority="43" dxfId="0"/>
    <cfRule type="duplicateValues" priority="48" dxfId="0"/>
    <cfRule type="duplicateValues" priority="47" dxfId="0"/>
    <cfRule type="duplicateValues" priority="42" dxfId="0"/>
    <cfRule type="duplicateValues" priority="44" dxfId="0"/>
  </conditionalFormatting>
  <conditionalFormatting sqref="G1:G13 G15:G17 G19:G33 G35:G56 G58:G71 G73:G1048576">
    <cfRule type="duplicateValues" priority="1" dxfId="0"/>
  </conditionalFormatting>
  <conditionalFormatting sqref="G1:G13 G15:G17 G19:G31 G33 G36:G56 G58:G71 G73:G1048576">
    <cfRule type="duplicateValues" priority="22" dxfId="0"/>
    <cfRule type="duplicateValues" priority="23" dxfId="0"/>
    <cfRule type="duplicateValues" priority="24" dxfId="0"/>
  </conditionalFormatting>
  <conditionalFormatting sqref="G109:G198">
    <cfRule type="duplicateValues" priority="86" dxfId="0"/>
    <cfRule type="duplicateValues" priority="97" dxfId="0"/>
    <cfRule type="duplicateValues" priority="96" dxfId="0"/>
    <cfRule type="duplicateValues" priority="95" dxfId="0"/>
    <cfRule type="duplicateValues" priority="94" dxfId="0"/>
    <cfRule type="duplicateValues" priority="55" dxfId="0"/>
    <cfRule type="duplicateValues" priority="56" dxfId="0"/>
    <cfRule type="duplicateValues" priority="57" dxfId="0"/>
    <cfRule type="duplicateValues" priority="58" dxfId="0"/>
    <cfRule type="duplicateValues" priority="59" dxfId="0"/>
    <cfRule type="duplicateValues" priority="60" dxfId="0"/>
    <cfRule type="duplicateValues" priority="61" dxfId="0"/>
    <cfRule type="duplicateValues" priority="62" dxfId="0"/>
    <cfRule type="duplicateValues" priority="63" dxfId="0"/>
    <cfRule type="duplicateValues" priority="64" dxfId="0"/>
    <cfRule type="duplicateValues" priority="65" dxfId="0"/>
    <cfRule type="duplicateValues" priority="66" dxfId="0"/>
    <cfRule type="duplicateValues" priority="93" dxfId="0"/>
    <cfRule type="duplicateValues" priority="92" dxfId="0"/>
    <cfRule type="duplicateValues" priority="91" dxfId="0"/>
    <cfRule type="duplicateValues" priority="90" dxfId="0"/>
    <cfRule type="duplicateValues" priority="89" dxfId="0"/>
    <cfRule type="duplicateValues" priority="88" dxfId="0"/>
    <cfRule type="duplicateValues" priority="87" dxfId="0"/>
    <cfRule type="duplicateValues" priority="85" dxfId="0"/>
    <cfRule type="duplicateValues" priority="84" dxfId="0"/>
    <cfRule type="duplicateValues" priority="83" dxfId="0"/>
    <cfRule type="duplicateValues" priority="82" dxfId="0"/>
    <cfRule type="duplicateValues" priority="81" dxfId="0"/>
    <cfRule type="duplicateValues" priority="80" dxfId="0"/>
    <cfRule type="duplicateValues" priority="79" dxfId="0"/>
    <cfRule type="duplicateValues" priority="78" dxfId="0"/>
    <cfRule type="duplicateValues" priority="77" dxfId="0"/>
    <cfRule type="duplicateValues" priority="76" dxfId="0"/>
    <cfRule type="duplicateValues" priority="75" dxfId="0"/>
    <cfRule type="duplicateValues" priority="74" dxfId="0"/>
    <cfRule type="duplicateValues" priority="73" dxfId="0"/>
    <cfRule type="duplicateValues" priority="72" dxfId="0"/>
    <cfRule type="duplicateValues" priority="71" dxfId="0"/>
    <cfRule type="duplicateValues" priority="70" dxfId="0"/>
    <cfRule type="duplicateValues" priority="69" dxfId="0"/>
    <cfRule type="duplicateValues" priority="68" dxfId="0"/>
    <cfRule type="duplicateValues" priority="67" dxfId="0"/>
  </conditionalFormatting>
  <conditionalFormatting sqref="A1:A4 A109:A1048576 G1:G4 G109:G1048576">
    <cfRule type="duplicateValues" priority="156" dxfId="0"/>
  </conditionalFormatting>
  <conditionalFormatting sqref="C1:C4 C109:C1048576 G1:G4 G109:G1048576">
    <cfRule type="duplicateValues" priority="155" dxfId="0"/>
    <cfRule type="duplicateValues" priority="154" dxfId="0"/>
  </conditionalFormatting>
  <conditionalFormatting sqref="G1:G4 G109:G1048576">
    <cfRule type="duplicateValues" priority="111" dxfId="0"/>
    <cfRule type="duplicateValues" priority="100" dxfId="0"/>
    <cfRule type="duplicateValues" priority="135" dxfId="0"/>
    <cfRule type="duplicateValues" priority="136" dxfId="0"/>
    <cfRule type="duplicateValues" priority="137" dxfId="0"/>
    <cfRule type="duplicateValues" priority="138" dxfId="0"/>
    <cfRule type="duplicateValues" priority="139" dxfId="0"/>
    <cfRule type="duplicateValues" priority="140" dxfId="0"/>
    <cfRule type="duplicateValues" priority="141" dxfId="0"/>
    <cfRule type="duplicateValues" priority="142" dxfId="0"/>
    <cfRule type="duplicateValues" priority="143" dxfId="0"/>
    <cfRule type="duplicateValues" priority="144" dxfId="0"/>
    <cfRule type="duplicateValues" priority="145" dxfId="0"/>
    <cfRule type="duplicateValues" priority="146" dxfId="0"/>
    <cfRule type="duplicateValues" priority="147" dxfId="0"/>
    <cfRule type="duplicateValues" priority="148" dxfId="0"/>
    <cfRule type="duplicateValues" priority="149" dxfId="0"/>
    <cfRule type="duplicateValues" priority="150" dxfId="0"/>
    <cfRule type="duplicateValues" priority="151" dxfId="0"/>
    <cfRule type="duplicateValues" priority="152" dxfId="0"/>
    <cfRule type="duplicateValues" priority="153" dxfId="0"/>
    <cfRule type="duplicateValues" priority="106" dxfId="0"/>
    <cfRule type="duplicateValues" priority="99" dxfId="0"/>
    <cfRule type="duplicateValues" priority="134" dxfId="0"/>
    <cfRule type="duplicateValues" priority="102" dxfId="0"/>
    <cfRule type="duplicateValues" priority="103" dxfId="0"/>
    <cfRule type="duplicateValues" priority="105" dxfId="0"/>
    <cfRule type="duplicateValues" priority="107" dxfId="0"/>
    <cfRule type="duplicateValues" priority="108" dxfId="0"/>
    <cfRule type="duplicateValues" priority="109" dxfId="0"/>
    <cfRule type="duplicateValues" priority="110" dxfId="0"/>
    <cfRule type="duplicateValues" priority="112" dxfId="0"/>
    <cfRule type="duplicateValues" priority="131" dxfId="0"/>
    <cfRule type="duplicateValues" priority="132" dxfId="0"/>
    <cfRule type="duplicateValues" priority="133" dxfId="0"/>
    <cfRule type="duplicateValues" priority="104" dxfId="0"/>
    <cfRule type="duplicateValues" priority="98" dxfId="0"/>
  </conditionalFormatting>
  <conditionalFormatting sqref="G109:G1048576">
    <cfRule type="duplicateValues" priority="51" dxfId="0"/>
    <cfRule type="duplicateValues" priority="52" dxfId="0"/>
    <cfRule type="duplicateValues" priority="53" dxfId="0"/>
    <cfRule type="duplicateValues" priority="54" dxfId="0"/>
    <cfRule type="duplicateValues" priority="50" dxfId="0"/>
    <cfRule type="duplicateValues" priority="119" dxfId="0"/>
    <cfRule type="duplicateValues" priority="118" dxfId="0"/>
    <cfRule type="duplicateValues" priority="117" dxfId="0"/>
    <cfRule type="duplicateValues" priority="116" dxfId="0"/>
    <cfRule type="duplicateValues" priority="115" dxfId="0"/>
    <cfRule type="duplicateValues" priority="114" dxfId="0"/>
    <cfRule type="duplicateValues" priority="113" dxfId="0"/>
    <cfRule type="duplicateValues" priority="123" dxfId="0"/>
    <cfRule type="duplicateValues" priority="124" dxfId="0"/>
    <cfRule type="duplicateValues" priority="101" dxfId="0"/>
    <cfRule type="duplicateValues" priority="130" dxfId="0"/>
    <cfRule type="duplicateValues" priority="129" dxfId="0"/>
    <cfRule type="duplicateValues" priority="128" dxfId="0"/>
    <cfRule type="duplicateValues" priority="127" dxfId="0"/>
    <cfRule type="duplicateValues" priority="126" dxfId="0"/>
    <cfRule type="duplicateValues" priority="125" dxfId="0"/>
    <cfRule type="duplicateValues" priority="122" dxfId="0"/>
    <cfRule type="duplicateValues" priority="121" dxfId="0"/>
    <cfRule type="duplicateValues" priority="120" dxfId="0"/>
  </conditionalFormatting>
  <conditionalFormatting sqref="G199:G1048576">
    <cfRule type="duplicateValues" priority="157" dxfId="0"/>
    <cfRule type="duplicateValues" priority="158" dxfId="0"/>
    <cfRule type="duplicateValues" priority="159" dxfId="0"/>
    <cfRule type="duplicateValues" priority="160" dxfId="0"/>
    <cfRule type="duplicateValues" priority="161" dxfId="0"/>
    <cfRule type="duplicateValues" priority="162" dxfId="0"/>
    <cfRule type="duplicateValues" priority="163" dxfId="0"/>
    <cfRule type="duplicateValues" priority="174" dxfId="0"/>
    <cfRule type="duplicateValues" priority="173" dxfId="0"/>
    <cfRule type="duplicateValues" priority="184" dxfId="0"/>
    <cfRule type="duplicateValues" priority="171" dxfId="0"/>
    <cfRule type="duplicateValues" priority="169" dxfId="0"/>
    <cfRule type="duplicateValues" priority="193" dxfId="0"/>
    <cfRule type="duplicateValues" priority="194" dxfId="0"/>
    <cfRule type="duplicateValues" priority="195" dxfId="0"/>
    <cfRule type="duplicateValues" priority="196" dxfId="0"/>
    <cfRule type="duplicateValues" priority="168" dxfId="0"/>
    <cfRule type="duplicateValues" priority="198" dxfId="0"/>
    <cfRule type="duplicateValues" priority="199" dxfId="0"/>
    <cfRule type="duplicateValues" priority="167" dxfId="0"/>
    <cfRule type="duplicateValues" priority="166" dxfId="0"/>
    <cfRule type="duplicateValues" priority="165" dxfId="0"/>
    <cfRule type="duplicateValues" priority="185" dxfId="0"/>
    <cfRule type="duplicateValues" priority="172" dxfId="0"/>
    <cfRule type="duplicateValues" priority="186" dxfId="0"/>
    <cfRule type="duplicateValues" priority="187" dxfId="0"/>
    <cfRule type="duplicateValues" priority="188" dxfId="0"/>
    <cfRule type="duplicateValues" priority="189" dxfId="0"/>
    <cfRule type="duplicateValues" priority="190" dxfId="0"/>
    <cfRule type="duplicateValues" priority="170" dxfId="0"/>
    <cfRule type="duplicateValues" priority="191" dxfId="0"/>
    <cfRule type="duplicateValues" priority="182" dxfId="0"/>
    <cfRule type="duplicateValues" priority="181" dxfId="0"/>
    <cfRule type="duplicateValues" priority="180" dxfId="0"/>
    <cfRule type="duplicateValues" priority="179" dxfId="0"/>
    <cfRule type="duplicateValues" priority="178" dxfId="0"/>
    <cfRule type="duplicateValues" priority="183" dxfId="0"/>
    <cfRule type="duplicateValues" priority="177" dxfId="0"/>
    <cfRule type="duplicateValues" priority="192" dxfId="0"/>
    <cfRule type="duplicateValues" priority="176" dxfId="0"/>
    <cfRule type="duplicateValues" priority="175" dxfId="0"/>
    <cfRule type="duplicateValues" priority="164" dxfId="0"/>
    <cfRule type="duplicateValues" priority="197" dxfId="0"/>
  </conditionalFormatting>
  <printOptions horizontalCentered="1" verticalCentered="1"/>
  <pageMargins left="0.2755905511811024" right="0.2755905511811024" top="0.2755905511811024" bottom="0.2755905511811024" header="0.1968503937007874" footer="0.1968503937007874"/>
  <pageSetup orientation="portrait" paperSize="9" scale="17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0"/>
  <sheetViews>
    <sheetView view="pageBreakPreview" zoomScale="40" zoomScaleNormal="55" zoomScaleSheetLayoutView="40" workbookViewId="0">
      <pane ySplit="4" topLeftCell="A5" activePane="bottomLeft" state="frozen"/>
      <selection activeCell="W89" sqref="W89"/>
      <selection pane="bottomLeft" activeCell="W89" sqref="W89"/>
    </sheetView>
  </sheetViews>
  <sheetFormatPr baseColWidth="8" defaultColWidth="9" defaultRowHeight="20.25"/>
  <cols>
    <col width="14.875" customWidth="1" style="118" min="1" max="1"/>
    <col width="32.375" bestFit="1" customWidth="1" style="118" min="2" max="2"/>
    <col width="18.125" customWidth="1" style="119" min="3" max="3"/>
    <col width="63.875" bestFit="1" customWidth="1" style="118" min="4" max="4"/>
    <col width="18.875" bestFit="1" customWidth="1" style="118" min="5" max="6"/>
    <col width="19.875" bestFit="1" customWidth="1" style="118" min="7" max="7"/>
    <col width="19.25" bestFit="1" customWidth="1" style="214" min="8" max="8"/>
    <col width="13.625" customWidth="1" style="119" min="9" max="10"/>
    <col width="11.125" bestFit="1" customWidth="1" style="119" min="11" max="11"/>
    <col width="13.875" bestFit="1" customWidth="1" style="119" min="12" max="12"/>
    <col width="21.375" bestFit="1" customWidth="1" style="214" min="13" max="13"/>
    <col width="10.625" customWidth="1" style="118" min="14" max="17"/>
    <col width="89.5" customWidth="1" style="161" min="18" max="18"/>
    <col width="9" customWidth="1" style="118" min="19" max="16384"/>
  </cols>
  <sheetData>
    <row r="1" ht="60" customHeight="1" s="189">
      <c r="A1" s="181" t="inlineStr">
        <is>
          <t>ESP搬入予定表</t>
        </is>
      </c>
    </row>
    <row r="2" ht="24" customHeight="1" s="189">
      <c r="A2" s="119" t="n"/>
      <c r="B2" s="119" t="n"/>
      <c r="D2" s="119" t="n"/>
      <c r="E2" s="119" t="n"/>
      <c r="F2" s="119" t="n"/>
      <c r="G2" s="119" t="n"/>
      <c r="H2" s="119" t="n"/>
      <c r="N2" s="121" t="n"/>
      <c r="O2" s="215" t="n">
        <v>45966</v>
      </c>
      <c r="R2" s="216">
        <f>WEEKDAY(O2)</f>
        <v/>
      </c>
    </row>
    <row r="3" ht="25.5" customHeight="1" s="189">
      <c r="A3" s="217" t="n"/>
      <c r="B3" s="119" t="n"/>
      <c r="D3" s="119" t="n"/>
      <c r="E3" s="124" t="n"/>
      <c r="F3" s="125" t="inlineStr">
        <is>
          <t>MAWB :</t>
        </is>
      </c>
      <c r="G3" s="194">
        <f>SUBTOTAL(3,B5:B1086)</f>
        <v/>
      </c>
      <c r="H3" s="218" t="inlineStr">
        <is>
          <t>本数</t>
        </is>
      </c>
      <c r="I3" s="218" t="n"/>
      <c r="J3" s="218" t="n"/>
      <c r="K3" s="11" t="n"/>
      <c r="L3" s="11">
        <f>SUM(M5:M12406)</f>
        <v/>
      </c>
      <c r="M3" s="13" t="inlineStr">
        <is>
          <t>本</t>
        </is>
      </c>
      <c r="N3" s="127" t="inlineStr">
        <is>
          <t>HAWB :</t>
        </is>
      </c>
      <c r="O3" s="180">
        <f>SUBTOTAL(9,G5:G1888)</f>
        <v/>
      </c>
      <c r="P3" s="127" t="inlineStr">
        <is>
          <t>個数 :</t>
        </is>
      </c>
      <c r="Q3" s="180">
        <f>SUBTOTAL(9,H5:H19845)</f>
        <v/>
      </c>
      <c r="R3" s="195" t="n"/>
      <c r="T3" s="128" t="n"/>
    </row>
    <row r="4" ht="45" customFormat="1" customHeight="1" s="132">
      <c r="A4" s="16" t="inlineStr">
        <is>
          <t>区別</t>
        </is>
      </c>
      <c r="B4" s="16" t="inlineStr">
        <is>
          <t>AWB番号</t>
        </is>
      </c>
      <c r="C4" s="16" t="inlineStr">
        <is>
          <t>代理店</t>
        </is>
      </c>
      <c r="D4" s="16" t="inlineStr">
        <is>
          <t>発送先</t>
        </is>
      </c>
      <c r="E4" s="16" t="inlineStr">
        <is>
          <t>FLT</t>
        </is>
      </c>
      <c r="F4" s="129" t="inlineStr">
        <is>
          <t>DAY</t>
        </is>
      </c>
      <c r="G4" s="16" t="inlineStr">
        <is>
          <t>件数</t>
        </is>
      </c>
      <c r="H4" s="183" t="inlineStr">
        <is>
          <t>個数</t>
        </is>
      </c>
      <c r="I4" s="129" t="inlineStr">
        <is>
          <t>到着予定時間</t>
        </is>
      </c>
      <c r="J4" s="219" t="n"/>
      <c r="K4" s="129" t="inlineStr">
        <is>
          <t>PKG時間</t>
        </is>
      </c>
      <c r="L4" s="219" t="n"/>
      <c r="M4" s="220" t="inlineStr">
        <is>
          <t>M本数</t>
        </is>
      </c>
      <c r="N4" s="21" t="inlineStr">
        <is>
          <t>横持ち
(OLT)</t>
        </is>
      </c>
      <c r="O4" s="21" t="inlineStr">
        <is>
          <t>BIN</t>
        </is>
      </c>
      <c r="P4" s="21" t="inlineStr">
        <is>
          <t>搬入
(HPK)</t>
        </is>
      </c>
      <c r="Q4" s="21" t="inlineStr">
        <is>
          <t>搬出
(OUT)</t>
        </is>
      </c>
      <c r="R4" s="18" t="inlineStr">
        <is>
          <t>IMF12</t>
        </is>
      </c>
    </row>
    <row r="5" ht="99.95" customFormat="1" customHeight="1" s="144">
      <c r="A5" s="133" t="inlineStr">
        <is>
          <t>Ｂ</t>
        </is>
      </c>
      <c r="B5" s="134" t="inlineStr">
        <is>
          <t>87643238635</t>
        </is>
      </c>
      <c r="C5" s="135" t="inlineStr">
        <is>
          <t>YNE</t>
        </is>
      </c>
      <c r="D5" s="136" t="inlineStr">
        <is>
          <t>トナミ</t>
        </is>
      </c>
      <c r="E5" s="137" t="inlineStr">
        <is>
          <t>3U9831</t>
        </is>
      </c>
      <c r="F5" s="137" t="inlineStr">
        <is>
          <t>2-Nov</t>
        </is>
      </c>
      <c r="G5" s="221" t="n">
        <v>1</v>
      </c>
      <c r="H5" s="221" t="n">
        <v>12</v>
      </c>
      <c r="I5" s="134" t="inlineStr">
        <is>
          <t>11/2</t>
        </is>
      </c>
      <c r="J5" s="139" t="n">
        <v>0.8368055555555556</v>
      </c>
      <c r="K5" s="134" t="inlineStr">
        <is>
          <t>11/4</t>
        </is>
      </c>
      <c r="L5" s="139" t="n">
        <v>0.9277777777777778</v>
      </c>
      <c r="M5" s="140" t="n">
        <v>12</v>
      </c>
      <c r="N5" s="141" t="n"/>
      <c r="O5" s="142" t="n"/>
      <c r="P5" s="142" t="n"/>
      <c r="Q5" s="142" t="n"/>
      <c r="R5" s="143" t="n"/>
    </row>
    <row r="6" ht="409.5" customFormat="1" customHeight="1" s="144">
      <c r="A6" s="133" t="inlineStr">
        <is>
          <t>Ｂ</t>
        </is>
      </c>
      <c r="B6" s="134" t="inlineStr">
        <is>
          <t>80422381693</t>
        </is>
      </c>
      <c r="C6" s="135" t="inlineStr">
        <is>
          <t>YNE</t>
        </is>
      </c>
      <c r="D6" s="136" t="inlineStr">
        <is>
          <t>佐川/トナミ/客户自提/未定</t>
        </is>
      </c>
      <c r="E6" s="137" t="inlineStr">
        <is>
          <t>CF0273</t>
        </is>
      </c>
      <c r="F6" s="137" t="inlineStr">
        <is>
          <t>4-Nov</t>
        </is>
      </c>
      <c r="G6" s="221" t="n">
        <v>14</v>
      </c>
      <c r="H6" s="221" t="n">
        <v>78</v>
      </c>
      <c r="I6" s="134" t="inlineStr">
        <is>
          <t>11/4</t>
        </is>
      </c>
      <c r="J6" s="139" t="n">
        <v>0.4895833333333333</v>
      </c>
      <c r="K6" s="134" t="n"/>
      <c r="L6" s="139" t="n"/>
      <c r="M6" s="140" t="n">
        <v>78</v>
      </c>
      <c r="N6" s="141" t="n"/>
      <c r="O6" s="142" t="n"/>
      <c r="P6" s="142" t="n"/>
      <c r="Q6" s="142" t="n"/>
      <c r="R6" s="185" t="inlineStr">
        <is>
          <t>YNE251029701	佐川
YNE251030302	佐川
YNE20251030304	佐川
YNE20251030305	佐川
YNE251029703	佐川
YNE6100129530	佐川
YNE202501423023	佐川
YNE251101201	佐川
YNE20251101302	佐川
YNE6100120662	佐川
YNE251030201	TONAMI
YNE251102201	TONAMI
YNE251030706	清关完成联系我司
YNE20251031303	客户自提</t>
        </is>
      </c>
    </row>
    <row r="7" ht="99" customFormat="1" customHeight="1" s="144">
      <c r="A7" s="133" t="n"/>
      <c r="B7" s="145" t="n"/>
      <c r="C7" s="135" t="n"/>
      <c r="D7" s="136" t="n"/>
      <c r="E7" s="146" t="n"/>
      <c r="F7" s="137" t="n"/>
      <c r="G7" s="221" t="n"/>
      <c r="H7" s="221" t="n"/>
      <c r="I7" s="134" t="n"/>
      <c r="J7" s="139" t="n"/>
      <c r="K7" s="134" t="n"/>
      <c r="L7" s="139" t="n"/>
      <c r="M7" s="140" t="n"/>
      <c r="N7" s="141" t="n"/>
      <c r="O7" s="142" t="n"/>
      <c r="P7" s="142" t="n"/>
      <c r="Q7" s="142" t="n"/>
      <c r="R7" s="222" t="n"/>
    </row>
    <row r="8" ht="208.5" customFormat="1" customHeight="1" s="144">
      <c r="A8" s="147" t="inlineStr">
        <is>
          <t>MAS</t>
        </is>
      </c>
      <c r="B8" s="148" t="inlineStr">
        <is>
          <t>11239047050</t>
        </is>
      </c>
      <c r="C8" s="149" t="inlineStr">
        <is>
          <t>YNE</t>
        </is>
      </c>
      <c r="D8" s="150" t="inlineStr">
        <is>
          <t>佐川</t>
        </is>
      </c>
      <c r="E8" s="151" t="inlineStr">
        <is>
          <t>MU0515</t>
        </is>
      </c>
      <c r="F8" s="223" t="inlineStr">
        <is>
          <t>4-Nov</t>
        </is>
      </c>
      <c r="G8" s="223" t="n">
        <v>6</v>
      </c>
      <c r="H8" s="223" t="n">
        <v>42</v>
      </c>
      <c r="I8" s="147" t="inlineStr">
        <is>
          <t>11/4</t>
        </is>
      </c>
      <c r="J8" s="153" t="n">
        <v>0.5534722222222223</v>
      </c>
      <c r="K8" s="147" t="n"/>
      <c r="L8" s="153" t="n"/>
      <c r="M8" s="154" t="n"/>
      <c r="N8" s="155" t="n"/>
      <c r="O8" s="156" t="n"/>
      <c r="P8" s="156" t="n"/>
      <c r="Q8" s="156" t="n"/>
      <c r="R8" s="157" t="inlineStr">
        <is>
          <t>YNE2301023283	佐川
YNE2301023316	佐川
YNE2301088221	佐川
YNE2301023320	佐川
YNE2301085071	佐川代引
YNE2301023331	佐川代引</t>
        </is>
      </c>
    </row>
    <row r="9" ht="99.95" customFormat="1" customHeight="1" s="144">
      <c r="A9" s="134" t="n"/>
      <c r="B9" s="134" t="n"/>
      <c r="C9" s="135" t="n"/>
      <c r="D9" s="158" t="n"/>
      <c r="E9" s="137" t="n"/>
      <c r="F9" s="137" t="n"/>
      <c r="G9" s="221" t="n"/>
      <c r="H9" s="221" t="n"/>
      <c r="I9" s="134" t="n"/>
      <c r="J9" s="139" t="n"/>
      <c r="K9" s="134" t="n"/>
      <c r="L9" s="139" t="n"/>
      <c r="M9" s="140" t="n"/>
      <c r="N9" s="141" t="n"/>
      <c r="O9" s="142" t="n"/>
      <c r="P9" s="142" t="n"/>
      <c r="Q9" s="142" t="n"/>
      <c r="R9" s="143" t="n"/>
    </row>
    <row r="10" ht="99.95" customFormat="1" customHeight="1" s="160">
      <c r="A10" s="134" t="n"/>
      <c r="B10" s="134" t="n"/>
      <c r="C10" s="135" t="n"/>
      <c r="D10" s="137" t="n"/>
      <c r="E10" s="137" t="n"/>
      <c r="F10" s="137" t="n"/>
      <c r="G10" s="221" t="n"/>
      <c r="H10" s="221" t="n"/>
      <c r="I10" s="134" t="n"/>
      <c r="J10" s="139" t="n"/>
      <c r="K10" s="134" t="n"/>
      <c r="L10" s="139" t="n"/>
      <c r="M10" s="140" t="n"/>
      <c r="N10" s="142" t="n"/>
      <c r="O10" s="142" t="n"/>
      <c r="P10" s="142" t="n"/>
      <c r="Q10" s="142" t="n"/>
      <c r="R10" s="159" t="n"/>
    </row>
  </sheetData>
  <autoFilter ref="A4:R4">
    <filterColumn colId="8" hiddenButton="0" showButton="0"/>
    <filterColumn colId="10" hiddenButton="0" showButton="0"/>
  </autoFilter>
  <mergeCells count="6">
    <mergeCell ref="I4:J4"/>
    <mergeCell ref="Q3:R3"/>
    <mergeCell ref="A1:R1"/>
    <mergeCell ref="R6:R7"/>
    <mergeCell ref="K4:L4"/>
    <mergeCell ref="O2:Q2"/>
  </mergeCells>
  <conditionalFormatting sqref="A5:R6 A7:Q7 A8 A9:R99997 F8:Q8">
    <cfRule type="expression" priority="20" dxfId="530">
      <formula>$A5="MAS"</formula>
    </cfRule>
  </conditionalFormatting>
  <conditionalFormatting sqref="B5:B7">
    <cfRule type="duplicateValues" priority="529" dxfId="0"/>
    <cfRule type="duplicateValues" priority="381" dxfId="0"/>
    <cfRule type="duplicateValues" priority="380" dxfId="0"/>
    <cfRule type="duplicateValues" priority="379" dxfId="0"/>
    <cfRule type="duplicateValues" priority="378" dxfId="0"/>
    <cfRule type="duplicateValues" priority="377" dxfId="0"/>
    <cfRule type="duplicateValues" priority="376" dxfId="0"/>
    <cfRule type="duplicateValues" priority="375" dxfId="0"/>
    <cfRule type="duplicateValues" priority="374" dxfId="0"/>
    <cfRule type="duplicateValues" priority="373" dxfId="0"/>
    <cfRule type="duplicateValues" priority="372" dxfId="0"/>
    <cfRule type="duplicateValues" priority="371" dxfId="0"/>
    <cfRule type="duplicateValues" priority="370" dxfId="0"/>
    <cfRule type="duplicateValues" priority="369" dxfId="0"/>
    <cfRule type="duplicateValues" priority="368" dxfId="0"/>
    <cfRule type="duplicateValues" priority="367" dxfId="0"/>
    <cfRule type="duplicateValues" priority="366" dxfId="0"/>
    <cfRule type="duplicateValues" priority="365" dxfId="0"/>
    <cfRule type="duplicateValues" priority="364" dxfId="0"/>
    <cfRule type="duplicateValues" priority="362" dxfId="0"/>
    <cfRule type="duplicateValues" priority="531" dxfId="0"/>
    <cfRule type="duplicateValues" priority="530" dxfId="0"/>
    <cfRule type="duplicateValues" priority="506" dxfId="0"/>
    <cfRule type="duplicateValues" priority="528" dxfId="0"/>
    <cfRule type="duplicateValues" priority="527" dxfId="0"/>
    <cfRule type="duplicateValues" priority="526" dxfId="0"/>
    <cfRule type="duplicateValues" priority="525" dxfId="0"/>
    <cfRule type="duplicateValues" priority="524" dxfId="0"/>
    <cfRule type="duplicateValues" priority="523" dxfId="0"/>
    <cfRule type="duplicateValues" priority="522" dxfId="0"/>
    <cfRule type="duplicateValues" priority="521" dxfId="0"/>
    <cfRule type="duplicateValues" priority="520" dxfId="0"/>
    <cfRule type="duplicateValues" priority="519" dxfId="0"/>
    <cfRule type="duplicateValues" priority="518" dxfId="0"/>
    <cfRule type="duplicateValues" priority="517" dxfId="0"/>
    <cfRule type="duplicateValues" priority="516" dxfId="0"/>
    <cfRule type="duplicateValues" priority="515" dxfId="0"/>
    <cfRule type="duplicateValues" priority="514" dxfId="0"/>
    <cfRule type="duplicateValues" priority="513" dxfId="0"/>
    <cfRule type="duplicateValues" priority="512" dxfId="0"/>
    <cfRule type="duplicateValues" priority="511" dxfId="0"/>
    <cfRule type="duplicateValues" priority="510" dxfId="0"/>
    <cfRule type="duplicateValues" priority="509" dxfId="0"/>
    <cfRule type="duplicateValues" priority="508" dxfId="0"/>
    <cfRule type="duplicateValues" priority="507" dxfId="0"/>
    <cfRule type="duplicateValues" priority="363" dxfId="0"/>
    <cfRule type="duplicateValues" priority="505" dxfId="0"/>
    <cfRule type="duplicateValues" priority="504" dxfId="0"/>
    <cfRule type="duplicateValues" priority="503" dxfId="0"/>
    <cfRule type="duplicateValues" priority="502" dxfId="0"/>
    <cfRule type="duplicateValues" priority="501" dxfId="0"/>
    <cfRule type="duplicateValues" priority="500" dxfId="0"/>
    <cfRule type="duplicateValues" priority="499" dxfId="0"/>
    <cfRule type="duplicateValues" priority="498" dxfId="0"/>
    <cfRule type="duplicateValues" priority="497" dxfId="0"/>
    <cfRule type="duplicateValues" priority="496" dxfId="0"/>
    <cfRule type="duplicateValues" priority="495" dxfId="0"/>
    <cfRule type="duplicateValues" priority="494" dxfId="0"/>
    <cfRule type="duplicateValues" priority="493" dxfId="0"/>
    <cfRule type="duplicateValues" priority="492" dxfId="0"/>
    <cfRule type="duplicateValues" priority="491" dxfId="0"/>
    <cfRule type="duplicateValues" priority="490" dxfId="0"/>
    <cfRule type="duplicateValues" priority="489" dxfId="0"/>
    <cfRule type="duplicateValues" priority="488" dxfId="0"/>
    <cfRule type="duplicateValues" priority="487" dxfId="0"/>
    <cfRule type="duplicateValues" priority="465" dxfId="0"/>
    <cfRule type="duplicateValues" priority="486" dxfId="0"/>
    <cfRule type="duplicateValues" priority="485" dxfId="0"/>
    <cfRule type="duplicateValues" priority="484" dxfId="0"/>
    <cfRule type="duplicateValues" priority="483" dxfId="0"/>
    <cfRule type="duplicateValues" priority="482" dxfId="0"/>
    <cfRule type="duplicateValues" priority="481" dxfId="0"/>
    <cfRule type="duplicateValues" priority="480" dxfId="0"/>
    <cfRule type="duplicateValues" priority="479" dxfId="0"/>
    <cfRule type="duplicateValues" priority="478" dxfId="0"/>
    <cfRule type="duplicateValues" priority="477" dxfId="0"/>
    <cfRule type="duplicateValues" priority="476" dxfId="0"/>
    <cfRule type="duplicateValues" priority="475" dxfId="0"/>
    <cfRule type="duplicateValues" priority="474" dxfId="0"/>
    <cfRule type="duplicateValues" priority="473" dxfId="0"/>
    <cfRule type="duplicateValues" priority="472" dxfId="0"/>
    <cfRule type="duplicateValues" priority="471" dxfId="0"/>
    <cfRule type="duplicateValues" priority="470" dxfId="0"/>
    <cfRule type="duplicateValues" priority="469" dxfId="0"/>
    <cfRule type="duplicateValues" priority="468" dxfId="0"/>
    <cfRule type="duplicateValues" priority="467" dxfId="0"/>
    <cfRule type="duplicateValues" priority="466" dxfId="0"/>
    <cfRule type="duplicateValues" priority="464" dxfId="0"/>
    <cfRule type="duplicateValues" priority="463" dxfId="0"/>
    <cfRule type="duplicateValues" priority="462" dxfId="0"/>
    <cfRule type="duplicateValues" priority="461" dxfId="0"/>
    <cfRule type="duplicateValues" priority="460" dxfId="0"/>
    <cfRule type="duplicateValues" priority="459" dxfId="0"/>
    <cfRule type="duplicateValues" priority="458" dxfId="0"/>
    <cfRule type="duplicateValues" priority="457" dxfId="0"/>
    <cfRule type="duplicateValues" priority="456" dxfId="0"/>
    <cfRule type="duplicateValues" priority="455" dxfId="0"/>
    <cfRule type="duplicateValues" priority="454" dxfId="0"/>
    <cfRule type="duplicateValues" priority="453" dxfId="0"/>
    <cfRule type="duplicateValues" priority="452" dxfId="0"/>
    <cfRule type="duplicateValues" priority="451" dxfId="0"/>
    <cfRule type="duplicateValues" priority="450" dxfId="0"/>
    <cfRule type="duplicateValues" priority="449" dxfId="0"/>
    <cfRule type="duplicateValues" priority="448" dxfId="0"/>
    <cfRule type="duplicateValues" priority="447" dxfId="0"/>
    <cfRule type="duplicateValues" priority="446" dxfId="0"/>
    <cfRule type="duplicateValues" priority="445" dxfId="0"/>
    <cfRule type="duplicateValues" priority="444" dxfId="0"/>
    <cfRule type="duplicateValues" priority="443" dxfId="0"/>
    <cfRule type="duplicateValues" priority="442" dxfId="0"/>
    <cfRule type="duplicateValues" priority="441" dxfId="0"/>
    <cfRule type="duplicateValues" priority="440" dxfId="0"/>
    <cfRule type="duplicateValues" priority="439" dxfId="0"/>
    <cfRule type="duplicateValues" priority="438" dxfId="0"/>
    <cfRule type="duplicateValues" priority="437" dxfId="0"/>
    <cfRule type="duplicateValues" priority="436" dxfId="0"/>
    <cfRule type="duplicateValues" priority="435" dxfId="0"/>
    <cfRule type="duplicateValues" priority="434" dxfId="0"/>
    <cfRule type="duplicateValues" priority="433" dxfId="0"/>
    <cfRule type="duplicateValues" priority="432" dxfId="0"/>
    <cfRule type="duplicateValues" priority="431" dxfId="0"/>
    <cfRule type="duplicateValues" priority="430" dxfId="0"/>
    <cfRule type="duplicateValues" priority="429" dxfId="0"/>
    <cfRule type="duplicateValues" priority="428" dxfId="0"/>
    <cfRule type="duplicateValues" priority="427" dxfId="0"/>
    <cfRule type="duplicateValues" priority="426" dxfId="0"/>
    <cfRule type="duplicateValues" priority="425" dxfId="0"/>
    <cfRule type="duplicateValues" priority="424" dxfId="0"/>
    <cfRule type="duplicateValues" priority="423" dxfId="0"/>
    <cfRule type="duplicateValues" priority="422" dxfId="0"/>
    <cfRule type="duplicateValues" priority="421" dxfId="0"/>
    <cfRule type="duplicateValues" priority="420" dxfId="0"/>
    <cfRule type="duplicateValues" priority="419" dxfId="0"/>
    <cfRule type="duplicateValues" priority="418" dxfId="0"/>
    <cfRule type="duplicateValues" priority="417" dxfId="0"/>
    <cfRule type="duplicateValues" priority="416" dxfId="0"/>
    <cfRule type="duplicateValues" priority="415" dxfId="0"/>
    <cfRule type="duplicateValues" priority="414" dxfId="0"/>
    <cfRule type="duplicateValues" priority="413" dxfId="0"/>
    <cfRule type="duplicateValues" priority="412" dxfId="0"/>
    <cfRule type="duplicateValues" priority="411" dxfId="0"/>
    <cfRule type="duplicateValues" priority="410" dxfId="0"/>
    <cfRule type="duplicateValues" priority="409" dxfId="0"/>
    <cfRule type="duplicateValues" priority="408" dxfId="0"/>
    <cfRule type="duplicateValues" priority="407" dxfId="0"/>
    <cfRule type="duplicateValues" priority="406" dxfId="0"/>
    <cfRule type="duplicateValues" priority="405" dxfId="0"/>
    <cfRule type="duplicateValues" priority="404" dxfId="0"/>
    <cfRule type="duplicateValues" priority="403" dxfId="0"/>
    <cfRule type="duplicateValues" priority="402" dxfId="0"/>
    <cfRule type="duplicateValues" priority="401" dxfId="0"/>
    <cfRule type="duplicateValues" priority="400" dxfId="0"/>
    <cfRule type="duplicateValues" priority="399" dxfId="0"/>
    <cfRule type="duplicateValues" priority="398" dxfId="0"/>
    <cfRule type="duplicateValues" priority="397" dxfId="0"/>
    <cfRule type="duplicateValues" priority="396" dxfId="0"/>
    <cfRule type="duplicateValues" priority="395" dxfId="0"/>
    <cfRule type="duplicateValues" priority="394" dxfId="0"/>
    <cfRule type="duplicateValues" priority="393" dxfId="0"/>
    <cfRule type="duplicateValues" priority="392" dxfId="0"/>
    <cfRule type="duplicateValues" priority="391" dxfId="0"/>
    <cfRule type="duplicateValues" priority="390" dxfId="0"/>
    <cfRule type="duplicateValues" priority="389" dxfId="0"/>
    <cfRule type="duplicateValues" priority="388" dxfId="0"/>
    <cfRule type="duplicateValues" priority="387" dxfId="0"/>
    <cfRule type="duplicateValues" priority="386" dxfId="0"/>
    <cfRule type="duplicateValues" priority="385" dxfId="0"/>
    <cfRule type="duplicateValues" priority="384" dxfId="0"/>
    <cfRule type="duplicateValues" priority="383" dxfId="0"/>
    <cfRule type="duplicateValues" priority="382" dxfId="0"/>
  </conditionalFormatting>
  <conditionalFormatting sqref="B8">
    <cfRule type="duplicateValues" priority="2" dxfId="0"/>
    <cfRule type="duplicateValues" priority="3" dxfId="0"/>
    <cfRule type="duplicateValues" priority="4" dxfId="0"/>
    <cfRule type="duplicateValues" priority="5" dxfId="0"/>
    <cfRule type="duplicateValues" priority="6" dxfId="0"/>
    <cfRule type="duplicateValues" priority="7" dxfId="0"/>
    <cfRule type="duplicateValues" priority="8" dxfId="0"/>
    <cfRule type="duplicateValues" priority="9" dxfId="0"/>
    <cfRule type="duplicateValues" priority="10" dxfId="0"/>
    <cfRule type="duplicateValues" priority="11" dxfId="0"/>
    <cfRule type="duplicateValues" priority="12" dxfId="0"/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  <cfRule type="duplicateValues" priority="1" dxfId="0"/>
  </conditionalFormatting>
  <conditionalFormatting sqref="B9">
    <cfRule type="duplicateValues" priority="361" dxfId="0"/>
    <cfRule type="duplicateValues" priority="192" dxfId="0"/>
    <cfRule type="duplicateValues" priority="193" dxfId="0"/>
    <cfRule type="duplicateValues" priority="194" dxfId="0"/>
    <cfRule type="duplicateValues" priority="195" dxfId="0"/>
    <cfRule type="duplicateValues" priority="196" dxfId="0"/>
    <cfRule type="duplicateValues" priority="197" dxfId="0"/>
    <cfRule type="duplicateValues" priority="198" dxfId="0"/>
    <cfRule type="duplicateValues" priority="199" dxfId="0"/>
    <cfRule type="duplicateValues" priority="200" dxfId="0"/>
    <cfRule type="duplicateValues" priority="201" dxfId="0"/>
    <cfRule type="duplicateValues" priority="202" dxfId="0"/>
    <cfRule type="duplicateValues" priority="203" dxfId="0"/>
    <cfRule type="duplicateValues" priority="204" dxfId="0"/>
    <cfRule type="duplicateValues" priority="205" dxfId="0"/>
    <cfRule type="duplicateValues" priority="206" dxfId="0"/>
    <cfRule type="duplicateValues" priority="207" dxfId="0"/>
    <cfRule type="duplicateValues" priority="208" dxfId="0"/>
    <cfRule type="duplicateValues" priority="209" dxfId="0"/>
    <cfRule type="duplicateValues" priority="210" dxfId="0"/>
    <cfRule type="duplicateValues" priority="211" dxfId="0"/>
    <cfRule type="duplicateValues" priority="212" dxfId="0"/>
    <cfRule type="duplicateValues" priority="213" dxfId="0"/>
    <cfRule type="duplicateValues" priority="214" dxfId="0"/>
    <cfRule type="duplicateValues" priority="215" dxfId="0"/>
    <cfRule type="duplicateValues" priority="216" dxfId="0"/>
    <cfRule type="duplicateValues" priority="217" dxfId="0"/>
    <cfRule type="duplicateValues" priority="218" dxfId="0"/>
    <cfRule type="duplicateValues" priority="219" dxfId="0"/>
    <cfRule type="duplicateValues" priority="220" dxfId="0"/>
    <cfRule type="duplicateValues" priority="221" dxfId="0"/>
    <cfRule type="duplicateValues" priority="222" dxfId="0"/>
    <cfRule type="duplicateValues" priority="223" dxfId="0"/>
    <cfRule type="duplicateValues" priority="224" dxfId="0"/>
    <cfRule type="duplicateValues" priority="225" dxfId="0"/>
    <cfRule type="duplicateValues" priority="226" dxfId="0"/>
    <cfRule type="duplicateValues" priority="227" dxfId="0"/>
    <cfRule type="duplicateValues" priority="228" dxfId="0"/>
    <cfRule type="duplicateValues" priority="229" dxfId="0"/>
    <cfRule type="duplicateValues" priority="230" dxfId="0"/>
    <cfRule type="duplicateValues" priority="231" dxfId="0"/>
    <cfRule type="duplicateValues" priority="232" dxfId="0"/>
    <cfRule type="duplicateValues" priority="233" dxfId="0"/>
    <cfRule type="duplicateValues" priority="234" dxfId="0"/>
    <cfRule type="duplicateValues" priority="235" dxfId="0"/>
    <cfRule type="duplicateValues" priority="236" dxfId="0"/>
    <cfRule type="duplicateValues" priority="237" dxfId="0"/>
    <cfRule type="duplicateValues" priority="238" dxfId="0"/>
    <cfRule type="duplicateValues" priority="239" dxfId="0"/>
    <cfRule type="duplicateValues" priority="240" dxfId="0"/>
    <cfRule type="duplicateValues" priority="241" dxfId="0"/>
    <cfRule type="duplicateValues" priority="242" dxfId="0"/>
    <cfRule type="duplicateValues" priority="243" dxfId="0"/>
    <cfRule type="duplicateValues" priority="244" dxfId="0"/>
    <cfRule type="duplicateValues" priority="245" dxfId="0"/>
    <cfRule type="duplicateValues" priority="246" dxfId="0"/>
    <cfRule type="duplicateValues" priority="247" dxfId="0"/>
    <cfRule type="duplicateValues" priority="248" dxfId="0"/>
    <cfRule type="duplicateValues" priority="249" dxfId="0"/>
    <cfRule type="duplicateValues" priority="250" dxfId="0"/>
    <cfRule type="duplicateValues" priority="251" dxfId="0"/>
    <cfRule type="duplicateValues" priority="252" dxfId="0"/>
    <cfRule type="duplicateValues" priority="253" dxfId="0"/>
    <cfRule type="duplicateValues" priority="254" dxfId="0"/>
    <cfRule type="duplicateValues" priority="255" dxfId="0"/>
    <cfRule type="duplicateValues" priority="256" dxfId="0"/>
    <cfRule type="duplicateValues" priority="257" dxfId="0"/>
    <cfRule type="duplicateValues" priority="258" dxfId="0"/>
    <cfRule type="duplicateValues" priority="259" dxfId="0"/>
    <cfRule type="duplicateValues" priority="260" dxfId="0"/>
    <cfRule type="duplicateValues" priority="261" dxfId="0"/>
    <cfRule type="duplicateValues" priority="262" dxfId="0"/>
    <cfRule type="duplicateValues" priority="263" dxfId="0"/>
    <cfRule type="duplicateValues" priority="264" dxfId="0"/>
    <cfRule type="duplicateValues" priority="265" dxfId="0"/>
    <cfRule type="duplicateValues" priority="266" dxfId="0"/>
    <cfRule type="duplicateValues" priority="267" dxfId="0"/>
    <cfRule type="duplicateValues" priority="268" dxfId="0"/>
    <cfRule type="duplicateValues" priority="269" dxfId="0"/>
    <cfRule type="duplicateValues" priority="270" dxfId="0"/>
    <cfRule type="duplicateValues" priority="271" dxfId="0"/>
    <cfRule type="duplicateValues" priority="272" dxfId="0"/>
    <cfRule type="duplicateValues" priority="273" dxfId="0"/>
    <cfRule type="duplicateValues" priority="274" dxfId="0"/>
    <cfRule type="duplicateValues" priority="275" dxfId="0"/>
    <cfRule type="duplicateValues" priority="276" dxfId="0"/>
    <cfRule type="duplicateValues" priority="277" dxfId="0"/>
    <cfRule type="duplicateValues" priority="278" dxfId="0"/>
    <cfRule type="duplicateValues" priority="279" dxfId="0"/>
    <cfRule type="duplicateValues" priority="280" dxfId="0"/>
    <cfRule type="duplicateValues" priority="281" dxfId="0"/>
    <cfRule type="duplicateValues" priority="282" dxfId="0"/>
    <cfRule type="duplicateValues" priority="283" dxfId="0"/>
    <cfRule type="duplicateValues" priority="284" dxfId="0"/>
    <cfRule type="duplicateValues" priority="285" dxfId="0"/>
    <cfRule type="duplicateValues" priority="286" dxfId="0"/>
    <cfRule type="duplicateValues" priority="287" dxfId="0"/>
    <cfRule type="duplicateValues" priority="288" dxfId="0"/>
    <cfRule type="duplicateValues" priority="289" dxfId="0"/>
    <cfRule type="duplicateValues" priority="290" dxfId="0"/>
    <cfRule type="duplicateValues" priority="291" dxfId="0"/>
    <cfRule type="duplicateValues" priority="292" dxfId="0"/>
    <cfRule type="duplicateValues" priority="293" dxfId="0"/>
    <cfRule type="duplicateValues" priority="294" dxfId="0"/>
    <cfRule type="duplicateValues" priority="295" dxfId="0"/>
    <cfRule type="duplicateValues" priority="296" dxfId="0"/>
    <cfRule type="duplicateValues" priority="297" dxfId="0"/>
    <cfRule type="duplicateValues" priority="298" dxfId="0"/>
    <cfRule type="duplicateValues" priority="299" dxfId="0"/>
    <cfRule type="duplicateValues" priority="300" dxfId="0"/>
    <cfRule type="duplicateValues" priority="301" dxfId="0"/>
    <cfRule type="duplicateValues" priority="302" dxfId="0"/>
    <cfRule type="duplicateValues" priority="303" dxfId="0"/>
    <cfRule type="duplicateValues" priority="304" dxfId="0"/>
    <cfRule type="duplicateValues" priority="305" dxfId="0"/>
    <cfRule type="duplicateValues" priority="306" dxfId="0"/>
    <cfRule type="duplicateValues" priority="307" dxfId="0"/>
    <cfRule type="duplicateValues" priority="308" dxfId="0"/>
    <cfRule type="duplicateValues" priority="309" dxfId="0"/>
    <cfRule type="duplicateValues" priority="310" dxfId="0"/>
    <cfRule type="duplicateValues" priority="311" dxfId="0"/>
    <cfRule type="duplicateValues" priority="312" dxfId="0"/>
    <cfRule type="duplicateValues" priority="313" dxfId="0"/>
    <cfRule type="duplicateValues" priority="314" dxfId="0"/>
    <cfRule type="duplicateValues" priority="315" dxfId="0"/>
    <cfRule type="duplicateValues" priority="316" dxfId="0"/>
    <cfRule type="duplicateValues" priority="317" dxfId="0"/>
    <cfRule type="duplicateValues" priority="318" dxfId="0"/>
    <cfRule type="duplicateValues" priority="319" dxfId="0"/>
    <cfRule type="duplicateValues" priority="320" dxfId="0"/>
    <cfRule type="duplicateValues" priority="321" dxfId="0"/>
    <cfRule type="duplicateValues" priority="322" dxfId="0"/>
    <cfRule type="duplicateValues" priority="323" dxfId="0"/>
    <cfRule type="duplicateValues" priority="324" dxfId="0"/>
    <cfRule type="duplicateValues" priority="325" dxfId="0"/>
    <cfRule type="duplicateValues" priority="326" dxfId="0"/>
    <cfRule type="duplicateValues" priority="327" dxfId="0"/>
    <cfRule type="duplicateValues" priority="328" dxfId="0"/>
    <cfRule type="duplicateValues" priority="329" dxfId="0"/>
    <cfRule type="duplicateValues" priority="330" dxfId="0"/>
    <cfRule type="duplicateValues" priority="331" dxfId="0"/>
    <cfRule type="duplicateValues" priority="332" dxfId="0"/>
    <cfRule type="duplicateValues" priority="333" dxfId="0"/>
    <cfRule type="duplicateValues" priority="334" dxfId="0"/>
    <cfRule type="duplicateValues" priority="335" dxfId="0"/>
    <cfRule type="duplicateValues" priority="336" dxfId="0"/>
    <cfRule type="duplicateValues" priority="337" dxfId="0"/>
    <cfRule type="duplicateValues" priority="338" dxfId="0"/>
    <cfRule type="duplicateValues" priority="339" dxfId="0"/>
    <cfRule type="duplicateValues" priority="340" dxfId="0"/>
    <cfRule type="duplicateValues" priority="341" dxfId="0"/>
    <cfRule type="duplicateValues" priority="342" dxfId="0"/>
    <cfRule type="duplicateValues" priority="343" dxfId="0"/>
    <cfRule type="duplicateValues" priority="344" dxfId="0"/>
    <cfRule type="duplicateValues" priority="345" dxfId="0"/>
    <cfRule type="duplicateValues" priority="346" dxfId="0"/>
    <cfRule type="duplicateValues" priority="347" dxfId="0"/>
    <cfRule type="duplicateValues" priority="348" dxfId="0"/>
    <cfRule type="duplicateValues" priority="349" dxfId="0"/>
    <cfRule type="duplicateValues" priority="350" dxfId="0"/>
    <cfRule type="duplicateValues" priority="351" dxfId="0"/>
    <cfRule type="duplicateValues" priority="352" dxfId="0"/>
    <cfRule type="duplicateValues" priority="353" dxfId="0"/>
    <cfRule type="duplicateValues" priority="354" dxfId="0"/>
    <cfRule type="duplicateValues" priority="355" dxfId="0"/>
    <cfRule type="duplicateValues" priority="356" dxfId="0"/>
    <cfRule type="duplicateValues" priority="357" dxfId="0"/>
    <cfRule type="duplicateValues" priority="358" dxfId="0"/>
    <cfRule type="duplicateValues" priority="359" dxfId="0"/>
    <cfRule type="duplicateValues" priority="360" dxfId="0"/>
  </conditionalFormatting>
  <conditionalFormatting sqref="B1:B7 B9:B1048576">
    <cfRule type="duplicateValues" priority="21" dxfId="0"/>
  </conditionalFormatting>
  <conditionalFormatting sqref="B10">
    <cfRule type="duplicateValues" priority="191" dxfId="0"/>
    <cfRule type="duplicateValues" priority="190" dxfId="0"/>
    <cfRule type="duplicateValues" priority="189" dxfId="0"/>
    <cfRule type="duplicateValues" priority="188" dxfId="0"/>
    <cfRule type="duplicateValues" priority="187" dxfId="0"/>
    <cfRule type="duplicateValues" priority="186" dxfId="0"/>
    <cfRule type="duplicateValues" priority="185" dxfId="0"/>
    <cfRule type="duplicateValues" priority="184" dxfId="0"/>
    <cfRule type="duplicateValues" priority="183" dxfId="0"/>
    <cfRule type="duplicateValues" priority="182" dxfId="0"/>
    <cfRule type="duplicateValues" priority="181" dxfId="0"/>
    <cfRule type="duplicateValues" priority="180" dxfId="0"/>
    <cfRule type="duplicateValues" priority="179" dxfId="0"/>
    <cfRule type="duplicateValues" priority="178" dxfId="0"/>
    <cfRule type="duplicateValues" priority="177" dxfId="0"/>
    <cfRule type="duplicateValues" priority="176" dxfId="0"/>
    <cfRule type="duplicateValues" priority="175" dxfId="0"/>
    <cfRule type="duplicateValues" priority="174" dxfId="0"/>
    <cfRule type="duplicateValues" priority="173" dxfId="0"/>
    <cfRule type="duplicateValues" priority="172" dxfId="0"/>
    <cfRule type="duplicateValues" priority="171" dxfId="0"/>
    <cfRule type="duplicateValues" priority="170" dxfId="0"/>
    <cfRule type="duplicateValues" priority="169" dxfId="0"/>
    <cfRule type="duplicateValues" priority="168" dxfId="0"/>
    <cfRule type="duplicateValues" priority="167" dxfId="0"/>
    <cfRule type="duplicateValues" priority="166" dxfId="0"/>
    <cfRule type="duplicateValues" priority="165" dxfId="0"/>
    <cfRule type="duplicateValues" priority="164" dxfId="0"/>
    <cfRule type="duplicateValues" priority="163" dxfId="0"/>
    <cfRule type="duplicateValues" priority="162" dxfId="0"/>
    <cfRule type="duplicateValues" priority="161" dxfId="0"/>
    <cfRule type="duplicateValues" priority="160" dxfId="0"/>
    <cfRule type="duplicateValues" priority="159" dxfId="0"/>
    <cfRule type="duplicateValues" priority="158" dxfId="0"/>
    <cfRule type="duplicateValues" priority="157" dxfId="0"/>
    <cfRule type="duplicateValues" priority="156" dxfId="0"/>
    <cfRule type="duplicateValues" priority="155" dxfId="0"/>
    <cfRule type="duplicateValues" priority="154" dxfId="0"/>
    <cfRule type="duplicateValues" priority="153" dxfId="0"/>
    <cfRule type="duplicateValues" priority="152" dxfId="0"/>
    <cfRule type="duplicateValues" priority="151" dxfId="0"/>
    <cfRule type="duplicateValues" priority="150" dxfId="0"/>
    <cfRule type="duplicateValues" priority="149" dxfId="0"/>
    <cfRule type="duplicateValues" priority="148" dxfId="0"/>
    <cfRule type="duplicateValues" priority="147" dxfId="0"/>
    <cfRule type="duplicateValues" priority="146" dxfId="0"/>
    <cfRule type="duplicateValues" priority="145" dxfId="0"/>
    <cfRule type="duplicateValues" priority="144" dxfId="0"/>
    <cfRule type="duplicateValues" priority="143" dxfId="0"/>
    <cfRule type="duplicateValues" priority="142" dxfId="0"/>
    <cfRule type="duplicateValues" priority="141" dxfId="0"/>
    <cfRule type="duplicateValues" priority="140" dxfId="0"/>
    <cfRule type="duplicateValues" priority="139" dxfId="0"/>
    <cfRule type="duplicateValues" priority="138" dxfId="0"/>
    <cfRule type="duplicateValues" priority="137" dxfId="0"/>
    <cfRule type="duplicateValues" priority="136" dxfId="0"/>
    <cfRule type="duplicateValues" priority="135" dxfId="0"/>
    <cfRule type="duplicateValues" priority="134" dxfId="0"/>
    <cfRule type="duplicateValues" priority="133" dxfId="0"/>
    <cfRule type="duplicateValues" priority="132" dxfId="0"/>
    <cfRule type="duplicateValues" priority="131" dxfId="0"/>
    <cfRule type="duplicateValues" priority="130" dxfId="0"/>
    <cfRule type="duplicateValues" priority="129" dxfId="0"/>
    <cfRule type="duplicateValues" priority="128" dxfId="0"/>
    <cfRule type="duplicateValues" priority="127" dxfId="0"/>
    <cfRule type="duplicateValues" priority="126" dxfId="0"/>
    <cfRule type="duplicateValues" priority="125" dxfId="0"/>
    <cfRule type="duplicateValues" priority="124" dxfId="0"/>
    <cfRule type="duplicateValues" priority="123" dxfId="0"/>
    <cfRule type="duplicateValues" priority="122" dxfId="0"/>
    <cfRule type="duplicateValues" priority="121" dxfId="0"/>
    <cfRule type="duplicateValues" priority="120" dxfId="0"/>
    <cfRule type="duplicateValues" priority="119" dxfId="0"/>
    <cfRule type="duplicateValues" priority="118" dxfId="0"/>
    <cfRule type="duplicateValues" priority="117" dxfId="0"/>
    <cfRule type="duplicateValues" priority="116" dxfId="0"/>
    <cfRule type="duplicateValues" priority="115" dxfId="0"/>
    <cfRule type="duplicateValues" priority="114" dxfId="0"/>
    <cfRule type="duplicateValues" priority="113" dxfId="0"/>
    <cfRule type="duplicateValues" priority="112" dxfId="0"/>
    <cfRule type="duplicateValues" priority="111" dxfId="0"/>
    <cfRule type="duplicateValues" priority="110" dxfId="0"/>
    <cfRule type="duplicateValues" priority="109" dxfId="0"/>
    <cfRule type="duplicateValues" priority="108" dxfId="0"/>
    <cfRule type="duplicateValues" priority="107" dxfId="0"/>
    <cfRule type="duplicateValues" priority="106" dxfId="0"/>
    <cfRule type="duplicateValues" priority="105" dxfId="0"/>
    <cfRule type="duplicateValues" priority="104" dxfId="0"/>
    <cfRule type="duplicateValues" priority="103" dxfId="0"/>
    <cfRule type="duplicateValues" priority="102" dxfId="0"/>
    <cfRule type="duplicateValues" priority="101" dxfId="0"/>
    <cfRule type="duplicateValues" priority="100" dxfId="0"/>
    <cfRule type="duplicateValues" priority="99" dxfId="0"/>
    <cfRule type="duplicateValues" priority="98" dxfId="0"/>
    <cfRule type="duplicateValues" priority="97" dxfId="0"/>
    <cfRule type="duplicateValues" priority="96" dxfId="0"/>
    <cfRule type="duplicateValues" priority="95" dxfId="0"/>
    <cfRule type="duplicateValues" priority="94" dxfId="0"/>
    <cfRule type="duplicateValues" priority="93" dxfId="0"/>
    <cfRule type="duplicateValues" priority="92" dxfId="0"/>
    <cfRule type="duplicateValues" priority="91" dxfId="0"/>
    <cfRule type="duplicateValues" priority="90" dxfId="0"/>
    <cfRule type="duplicateValues" priority="89" dxfId="0"/>
    <cfRule type="duplicateValues" priority="67" dxfId="0"/>
    <cfRule type="duplicateValues" priority="88" dxfId="0"/>
    <cfRule type="duplicateValues" priority="87" dxfId="0"/>
    <cfRule type="duplicateValues" priority="86" dxfId="0"/>
    <cfRule type="duplicateValues" priority="85" dxfId="0"/>
    <cfRule type="duplicateValues" priority="84" dxfId="0"/>
    <cfRule type="duplicateValues" priority="83" dxfId="0"/>
    <cfRule type="duplicateValues" priority="82" dxfId="0"/>
    <cfRule type="duplicateValues" priority="81" dxfId="0"/>
    <cfRule type="duplicateValues" priority="80" dxfId="0"/>
    <cfRule type="duplicateValues" priority="79" dxfId="0"/>
    <cfRule type="duplicateValues" priority="78" dxfId="0"/>
    <cfRule type="duplicateValues" priority="77" dxfId="0"/>
    <cfRule type="duplicateValues" priority="76" dxfId="0"/>
    <cfRule type="duplicateValues" priority="75" dxfId="0"/>
    <cfRule type="duplicateValues" priority="74" dxfId="0"/>
    <cfRule type="duplicateValues" priority="73" dxfId="0"/>
    <cfRule type="duplicateValues" priority="72" dxfId="0"/>
    <cfRule type="duplicateValues" priority="71" dxfId="0"/>
    <cfRule type="duplicateValues" priority="70" dxfId="0"/>
    <cfRule type="duplicateValues" priority="69" dxfId="0"/>
    <cfRule type="duplicateValues" priority="68" dxfId="0"/>
    <cfRule type="duplicateValues" priority="66" dxfId="0"/>
    <cfRule type="duplicateValues" priority="65" dxfId="0"/>
    <cfRule type="duplicateValues" priority="64" dxfId="0"/>
    <cfRule type="duplicateValues" priority="63" dxfId="0"/>
    <cfRule type="duplicateValues" priority="62" dxfId="0"/>
    <cfRule type="duplicateValues" priority="61" dxfId="0"/>
    <cfRule type="duplicateValues" priority="60" dxfId="0"/>
    <cfRule type="duplicateValues" priority="59" dxfId="0"/>
    <cfRule type="duplicateValues" priority="58" dxfId="0"/>
    <cfRule type="duplicateValues" priority="57" dxfId="0"/>
    <cfRule type="duplicateValues" priority="56" dxfId="0"/>
    <cfRule type="duplicateValues" priority="55" dxfId="0"/>
    <cfRule type="duplicateValues" priority="54" dxfId="0"/>
    <cfRule type="duplicateValues" priority="53" dxfId="0"/>
    <cfRule type="duplicateValues" priority="52" dxfId="0"/>
    <cfRule type="duplicateValues" priority="51" dxfId="0"/>
    <cfRule type="duplicateValues" priority="50" dxfId="0"/>
    <cfRule type="duplicateValues" priority="49" dxfId="0"/>
    <cfRule type="duplicateValues" priority="48" dxfId="0"/>
    <cfRule type="duplicateValues" priority="47" dxfId="0"/>
    <cfRule type="duplicateValues" priority="46" dxfId="0"/>
    <cfRule type="duplicateValues" priority="45" dxfId="0"/>
    <cfRule type="duplicateValues" priority="44" dxfId="0"/>
    <cfRule type="duplicateValues" priority="43" dxfId="0"/>
    <cfRule type="duplicateValues" priority="42" dxfId="0"/>
    <cfRule type="duplicateValues" priority="41" dxfId="0"/>
    <cfRule type="duplicateValues" priority="40" dxfId="0"/>
    <cfRule type="duplicateValues" priority="39" dxfId="0"/>
    <cfRule type="duplicateValues" priority="38" dxfId="0"/>
    <cfRule type="duplicateValues" priority="37" dxfId="0"/>
    <cfRule type="duplicateValues" priority="36" dxfId="0"/>
    <cfRule type="duplicateValues" priority="35" dxfId="0"/>
    <cfRule type="duplicateValues" priority="34" dxfId="0"/>
    <cfRule type="duplicateValues" priority="33" dxfId="0"/>
    <cfRule type="duplicateValues" priority="32" dxfId="0"/>
    <cfRule type="duplicateValues" priority="31" dxfId="0"/>
    <cfRule type="duplicateValues" priority="30" dxfId="0"/>
    <cfRule type="duplicateValues" priority="29" dxfId="0"/>
    <cfRule type="duplicateValues" priority="28" dxfId="0"/>
    <cfRule type="duplicateValues" priority="27" dxfId="0"/>
    <cfRule type="duplicateValues" priority="26" dxfId="0"/>
    <cfRule type="duplicateValues" priority="25" dxfId="0"/>
    <cfRule type="duplicateValues" priority="24" dxfId="0"/>
    <cfRule type="duplicateValues" priority="23" dxfId="0"/>
    <cfRule type="duplicateValues" priority="22" dxfId="0"/>
  </conditionalFormatting>
  <printOptions horizontalCentered="1" verticalCentered="1"/>
  <pageMargins left="0.1574803149606299" right="0.1574803149606299" top="0.1968503937007874" bottom="0.1968503937007874" header="0.1574803149606299" footer="0.1574803149606299"/>
  <pageSetup orientation="landscape" paperSize="9" scale="3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SORU GUGE</dc:creator>
  <dcterms:created xsi:type="dcterms:W3CDTF">2025-11-04T23:57:48Z</dcterms:created>
  <dcterms:modified xsi:type="dcterms:W3CDTF">2025-11-05T08:54:30Z</dcterms:modified>
  <cp:lastModifiedBy>新木場 配送部共通2</cp:lastModifiedBy>
</cp:coreProperties>
</file>